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Code\Projects\NineTap\NineTapTour\NineTapTour\Resources\"/>
    </mc:Choice>
  </mc:AlternateContent>
  <xr:revisionPtr revIDLastSave="0" documentId="8_{D3CB2C1E-A285-4ECF-BCFB-F98D273869FD}" xr6:coauthVersionLast="47" xr6:coauthVersionMax="47" xr10:uidLastSave="{00000000-0000-0000-0000-000000000000}"/>
  <bookViews>
    <workbookView xWindow="28680" yWindow="-120" windowWidth="29040" windowHeight="15720" xr2:uid="{B1D5DF8F-F727-4CE8-B321-8979D180FB04}"/>
  </bookViews>
  <sheets>
    <sheet name="Results" sheetId="1" r:id="rId1"/>
    <sheet name="1st" sheetId="2" r:id="rId2"/>
    <sheet name="2nd" sheetId="3" r:id="rId3"/>
    <sheet name="3rd" sheetId="4" r:id="rId4"/>
    <sheet name="4th" sheetId="5" r:id="rId5"/>
    <sheet name="5th" sheetId="6" r:id="rId6"/>
    <sheet name="6th" sheetId="7" r:id="rId7"/>
    <sheet name="7th" sheetId="8" r:id="rId8"/>
    <sheet name="8th" sheetId="9" r:id="rId9"/>
    <sheet name="9th" sheetId="10" r:id="rId10"/>
    <sheet name="10th" sheetId="11" r:id="rId11"/>
    <sheet name="11th" sheetId="12" r:id="rId12"/>
    <sheet name="12th" sheetId="13" r:id="rId13"/>
    <sheet name="13th" sheetId="14" r:id="rId14"/>
    <sheet name="14th" sheetId="15" r:id="rId15"/>
    <sheet name="15th" sheetId="16" r:id="rId16"/>
    <sheet name="16th" sheetId="17" r:id="rId17"/>
    <sheet name="17th" sheetId="18" r:id="rId18"/>
    <sheet name="18th" sheetId="19" r:id="rId19"/>
    <sheet name="19th" sheetId="20" r:id="rId20"/>
    <sheet name="20th" sheetId="21" r:id="rId21"/>
    <sheet name="21st" sheetId="22" r:id="rId22"/>
    <sheet name="22nd" sheetId="23" r:id="rId23"/>
    <sheet name="23rd" sheetId="24" r:id="rId24"/>
    <sheet name="24th" sheetId="25" r:id="rId25"/>
    <sheet name="25th" sheetId="26" r:id="rId26"/>
    <sheet name="26th" sheetId="27" r:id="rId27"/>
    <sheet name="27th" sheetId="28" r:id="rId28"/>
    <sheet name="28th" sheetId="29" r:id="rId29"/>
    <sheet name="29th" sheetId="30" r:id="rId30"/>
    <sheet name="30th" sheetId="31" r:id="rId31"/>
    <sheet name="31st" sheetId="32" r:id="rId32"/>
    <sheet name="32nd" sheetId="33" r:id="rId33"/>
    <sheet name="33rd" sheetId="34" r:id="rId34"/>
    <sheet name="34th" sheetId="35" r:id="rId35"/>
    <sheet name="35th" sheetId="36" r:id="rId36"/>
    <sheet name="36th" sheetId="37" r:id="rId37"/>
    <sheet name="37th" sheetId="38" r:id="rId38"/>
    <sheet name="38th" sheetId="39" r:id="rId39"/>
    <sheet name="39th" sheetId="40" r:id="rId40"/>
    <sheet name="40th" sheetId="41" r:id="rId41"/>
    <sheet name="41st" sheetId="42" r:id="rId42"/>
    <sheet name="42nd" sheetId="43" r:id="rId43"/>
    <sheet name="43rd" sheetId="44" r:id="rId44"/>
    <sheet name="44th" sheetId="45" r:id="rId45"/>
    <sheet name="45th" sheetId="46" r:id="rId46"/>
    <sheet name="46th" sheetId="47" r:id="rId47"/>
    <sheet name="47th" sheetId="48" r:id="rId48"/>
    <sheet name="48th" sheetId="49" r:id="rId49"/>
    <sheet name="49th" sheetId="50" r:id="rId50"/>
    <sheet name="50th" sheetId="51" r:id="rId51"/>
  </sheets>
  <definedNames>
    <definedName name="Z_A628522E_1AA5_4914_ACA1_4CD60C5DA1D6_.wvu.PrintArea" localSheetId="0" hidden="1">Results!$A$1:$I$72</definedName>
  </definedNames>
  <calcPr calcId="191029"/>
  <customWorkbookViews>
    <customWorkbookView name="margie - Personal View" guid="{6579D6FA-61B8-4BE0-9E51-0DE789A5B6F9}" mergeInterval="0" personalView="1" maximized="1" xWindow="1" yWindow="1" windowWidth="1362" windowHeight="496" activeSheetId="1"/>
    <customWorkbookView name="Toshiba - Personal View" guid="{6CC9502D-B81B-4D47-97A4-B1B3C91D360C}" mergeInterval="0" personalView="1" maximized="1" xWindow="1" yWindow="1" windowWidth="1276" windowHeight="570" activeSheetId="1"/>
    <customWorkbookView name="9-Tap Tour Inc - Personal View" guid="{CE2F8619-2855-4509-B3F5-4D97A9FBAB49}" mergeInterval="0" personalView="1" maximized="1" windowWidth="970" windowHeight="464" activeSheetId="1"/>
    <customWorkbookView name="9-Tap Tour - Personal View" guid="{914B9726-6F75-4D74-BF0E-B8F90E9EB75F}" mergeInterval="0" personalView="1" maximized="1" windowWidth="1020" windowHeight="631" activeSheetId="1"/>
    <customWorkbookView name="DavidK - Personal View" guid="{A628522E-1AA5-4914-ACA1-4CD60C5DA1D6}" mergeInterval="0" personalView="1" maximized="1" windowWidth="1304" windowHeight="582" activeSheetId="2"/>
    <customWorkbookView name="Jason - Personal View" guid="{176EB7C3-0D04-446A-A955-E3BB03AB12CB}" mergeInterval="0" personalView="1" maximized="1" xWindow="-9" yWindow="-9" windowWidth="1938" windowHeight="1050" activeSheetId="1"/>
    <customWorkbookView name="QUAD - Personal View" guid="{FAEA6EC5-D9B6-4437-A803-823522310AC0}" mergeInterval="0" personalView="1" maximized="1" xWindow="-8" yWindow="-8" windowWidth="1936" windowHeight="1056" activeSheetId="1"/>
    <customWorkbookView name="Puget Sound - Personal View" guid="{F04FE217-A37A-4511-893E-50AA42FE7103}" mergeInterval="0" personalView="1" maximized="1" xWindow="1" yWindow="1" windowWidth="1362" windowHeight="629" activeSheetId="1"/>
    <customWorkbookView name="Eli Artz - Personal View" guid="{9CAD209D-2C54-4BC8-BBE1-B44670E0CFDB}" mergeInterval="0" personalView="1" maximized="1" xWindow="-8" yWindow="-8" windowWidth="1382" windowHeight="754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4" l="1"/>
  <c r="D8" i="14"/>
  <c r="C9" i="1"/>
  <c r="C7" i="1"/>
  <c r="C5" i="1"/>
  <c r="B2" i="51"/>
  <c r="H2" i="51"/>
  <c r="B3" i="51"/>
  <c r="D8" i="51"/>
  <c r="E3" i="51"/>
  <c r="B4" i="51" s="1"/>
  <c r="H3" i="51"/>
  <c r="B9" i="51"/>
  <c r="B6" i="51"/>
  <c r="B8" i="51"/>
  <c r="B2" i="50"/>
  <c r="H2" i="50"/>
  <c r="B3" i="50"/>
  <c r="D8" i="50" s="1"/>
  <c r="E3" i="50"/>
  <c r="B4" i="50" s="1"/>
  <c r="H3" i="50"/>
  <c r="B9" i="50" s="1"/>
  <c r="B6" i="50"/>
  <c r="B8" i="50"/>
  <c r="B2" i="49"/>
  <c r="H2" i="49"/>
  <c r="B3" i="49"/>
  <c r="D8" i="49"/>
  <c r="E3" i="49"/>
  <c r="B4" i="49"/>
  <c r="H3" i="49"/>
  <c r="B6" i="49"/>
  <c r="B8" i="49"/>
  <c r="B9" i="49"/>
  <c r="B2" i="48"/>
  <c r="H2" i="48"/>
  <c r="B3" i="48"/>
  <c r="D8" i="48"/>
  <c r="E3" i="48"/>
  <c r="B4" i="48"/>
  <c r="H3" i="48"/>
  <c r="B9" i="48"/>
  <c r="B6" i="48"/>
  <c r="B8" i="48"/>
  <c r="B2" i="47"/>
  <c r="H2" i="47"/>
  <c r="B3" i="47"/>
  <c r="D8" i="47" s="1"/>
  <c r="E3" i="47"/>
  <c r="B4" i="47" s="1"/>
  <c r="H3" i="47"/>
  <c r="B9" i="47" s="1"/>
  <c r="B6" i="47"/>
  <c r="B8" i="47"/>
  <c r="B2" i="46"/>
  <c r="H2" i="46"/>
  <c r="B3" i="46"/>
  <c r="D8" i="46" s="1"/>
  <c r="E3" i="46"/>
  <c r="B4" i="46" s="1"/>
  <c r="H3" i="46"/>
  <c r="B9" i="46"/>
  <c r="B6" i="46"/>
  <c r="B8" i="46"/>
  <c r="B2" i="45"/>
  <c r="H2" i="45"/>
  <c r="B3" i="45"/>
  <c r="D8" i="45" s="1"/>
  <c r="E3" i="45"/>
  <c r="B4" i="45"/>
  <c r="H3" i="45"/>
  <c r="B6" i="45"/>
  <c r="B8" i="45"/>
  <c r="B9" i="45"/>
  <c r="B2" i="44"/>
  <c r="H2" i="44"/>
  <c r="B3" i="44"/>
  <c r="E3" i="44"/>
  <c r="B4" i="44"/>
  <c r="H3" i="44"/>
  <c r="B9" i="44"/>
  <c r="B6" i="44"/>
  <c r="B8" i="44"/>
  <c r="D8" i="44"/>
  <c r="B2" i="43"/>
  <c r="H2" i="43"/>
  <c r="B3" i="43"/>
  <c r="D8" i="43"/>
  <c r="E3" i="43"/>
  <c r="B4" i="43"/>
  <c r="H3" i="43"/>
  <c r="B9" i="43" s="1"/>
  <c r="B6" i="43"/>
  <c r="B8" i="43"/>
  <c r="B2" i="42"/>
  <c r="H2" i="42"/>
  <c r="B3" i="42"/>
  <c r="D8" i="42" s="1"/>
  <c r="E3" i="42"/>
  <c r="B4" i="42"/>
  <c r="H3" i="42"/>
  <c r="B9" i="42"/>
  <c r="B6" i="42"/>
  <c r="B8" i="42"/>
  <c r="B2" i="41"/>
  <c r="H2" i="41"/>
  <c r="B3" i="41"/>
  <c r="D8" i="41" s="1"/>
  <c r="E3" i="41"/>
  <c r="B4" i="41" s="1"/>
  <c r="H3" i="41"/>
  <c r="B9" i="41" s="1"/>
  <c r="B6" i="41"/>
  <c r="B8" i="41"/>
  <c r="B2" i="40"/>
  <c r="H2" i="40"/>
  <c r="B3" i="40"/>
  <c r="E3" i="40"/>
  <c r="B4" i="40"/>
  <c r="H3" i="40"/>
  <c r="B9" i="40"/>
  <c r="B6" i="40"/>
  <c r="B8" i="40"/>
  <c r="D8" i="40"/>
  <c r="B2" i="39"/>
  <c r="H2" i="39"/>
  <c r="B3" i="39"/>
  <c r="D8" i="39"/>
  <c r="E3" i="39"/>
  <c r="B4" i="39" s="1"/>
  <c r="H3" i="39"/>
  <c r="B6" i="39"/>
  <c r="B8" i="39"/>
  <c r="B9" i="39"/>
  <c r="B2" i="38"/>
  <c r="H2" i="38"/>
  <c r="B3" i="38"/>
  <c r="D8" i="38" s="1"/>
  <c r="E3" i="38"/>
  <c r="B4" i="38"/>
  <c r="H3" i="38"/>
  <c r="B9" i="38" s="1"/>
  <c r="B6" i="38"/>
  <c r="B8" i="38"/>
  <c r="B2" i="37"/>
  <c r="H2" i="37"/>
  <c r="B3" i="37"/>
  <c r="D8" i="37"/>
  <c r="E3" i="37"/>
  <c r="B4" i="37"/>
  <c r="H3" i="37"/>
  <c r="B9" i="37" s="1"/>
  <c r="B6" i="37"/>
  <c r="B8" i="37"/>
  <c r="B2" i="36"/>
  <c r="H2" i="36"/>
  <c r="B3" i="36"/>
  <c r="D8" i="36"/>
  <c r="E3" i="36"/>
  <c r="B4" i="36"/>
  <c r="H3" i="36"/>
  <c r="B9" i="36"/>
  <c r="B6" i="36"/>
  <c r="B8" i="36"/>
  <c r="B2" i="35"/>
  <c r="H2" i="35"/>
  <c r="B3" i="35"/>
  <c r="D8" i="35" s="1"/>
  <c r="E3" i="35"/>
  <c r="B4" i="35" s="1"/>
  <c r="H3" i="35"/>
  <c r="B9" i="35" s="1"/>
  <c r="B6" i="35"/>
  <c r="B8" i="35"/>
  <c r="B2" i="34"/>
  <c r="H2" i="34"/>
  <c r="B3" i="34"/>
  <c r="D8" i="34" s="1"/>
  <c r="E3" i="34"/>
  <c r="B4" i="34"/>
  <c r="H3" i="34"/>
  <c r="B6" i="34"/>
  <c r="B8" i="34"/>
  <c r="B9" i="34"/>
  <c r="B2" i="33"/>
  <c r="H2" i="33"/>
  <c r="B3" i="33"/>
  <c r="D8" i="33"/>
  <c r="E3" i="33"/>
  <c r="B4" i="33"/>
  <c r="H3" i="33"/>
  <c r="B6" i="33"/>
  <c r="B8" i="33"/>
  <c r="B9" i="33"/>
  <c r="B2" i="32"/>
  <c r="H2" i="32"/>
  <c r="B3" i="32"/>
  <c r="D8" i="32" s="1"/>
  <c r="E3" i="32"/>
  <c r="B4" i="32" s="1"/>
  <c r="H3" i="32"/>
  <c r="B9" i="32" s="1"/>
  <c r="B6" i="32"/>
  <c r="B8" i="32"/>
  <c r="B2" i="31"/>
  <c r="H2" i="31"/>
  <c r="B3" i="31"/>
  <c r="D8" i="31"/>
  <c r="E3" i="31"/>
  <c r="B4" i="31"/>
  <c r="H3" i="31"/>
  <c r="B6" i="31"/>
  <c r="B8" i="31"/>
  <c r="B9" i="31"/>
  <c r="B2" i="30"/>
  <c r="H2" i="30"/>
  <c r="B3" i="30"/>
  <c r="D8" i="30" s="1"/>
  <c r="E3" i="30"/>
  <c r="B4" i="30"/>
  <c r="H3" i="30"/>
  <c r="B9" i="30" s="1"/>
  <c r="B6" i="30"/>
  <c r="B8" i="30"/>
  <c r="B2" i="29"/>
  <c r="H2" i="29"/>
  <c r="B3" i="29"/>
  <c r="D8" i="29" s="1"/>
  <c r="E3" i="29"/>
  <c r="B4" i="29" s="1"/>
  <c r="B6" i="29"/>
  <c r="B8" i="29"/>
  <c r="B2" i="28"/>
  <c r="H2" i="28"/>
  <c r="B3" i="28"/>
  <c r="D8" i="28"/>
  <c r="E3" i="28"/>
  <c r="B4" i="28" s="1"/>
  <c r="B6" i="28"/>
  <c r="B8" i="28"/>
  <c r="B2" i="27"/>
  <c r="H2" i="27"/>
  <c r="B3" i="27"/>
  <c r="D8" i="27"/>
  <c r="E3" i="27"/>
  <c r="B4" i="27" s="1"/>
  <c r="B6" i="27"/>
  <c r="B8" i="27"/>
  <c r="B2" i="26"/>
  <c r="H2" i="26"/>
  <c r="B3" i="26"/>
  <c r="D8" i="26" s="1"/>
  <c r="E3" i="26"/>
  <c r="B4" i="26" s="1"/>
  <c r="B6" i="26"/>
  <c r="B8" i="26"/>
  <c r="B2" i="25"/>
  <c r="H2" i="25"/>
  <c r="B3" i="25"/>
  <c r="D8" i="25"/>
  <c r="E3" i="25"/>
  <c r="B4" i="25" s="1"/>
  <c r="B6" i="25"/>
  <c r="B8" i="25"/>
  <c r="B2" i="24"/>
  <c r="H2" i="24"/>
  <c r="B3" i="24"/>
  <c r="D8" i="24"/>
  <c r="E3" i="24"/>
  <c r="B4" i="24" s="1"/>
  <c r="B6" i="24"/>
  <c r="B8" i="24"/>
  <c r="B2" i="23"/>
  <c r="H2" i="23"/>
  <c r="B3" i="23"/>
  <c r="D8" i="23" s="1"/>
  <c r="B6" i="23"/>
  <c r="B8" i="23"/>
  <c r="B2" i="22"/>
  <c r="H2" i="22"/>
  <c r="B3" i="22"/>
  <c r="D8" i="22" s="1"/>
  <c r="B6" i="22"/>
  <c r="B8" i="22"/>
  <c r="B2" i="21"/>
  <c r="H2" i="21"/>
  <c r="B3" i="21"/>
  <c r="D8" i="21" s="1"/>
  <c r="B6" i="21"/>
  <c r="B8" i="21"/>
  <c r="B2" i="20"/>
  <c r="H2" i="20"/>
  <c r="B3" i="20"/>
  <c r="D8" i="20" s="1"/>
  <c r="B6" i="20"/>
  <c r="B8" i="20"/>
  <c r="B2" i="19"/>
  <c r="H2" i="19"/>
  <c r="B3" i="19"/>
  <c r="D8" i="19" s="1"/>
  <c r="B6" i="19"/>
  <c r="B8" i="19"/>
  <c r="B2" i="18"/>
  <c r="H2" i="18"/>
  <c r="B3" i="18"/>
  <c r="D8" i="18" s="1"/>
  <c r="B6" i="18"/>
  <c r="B8" i="18"/>
  <c r="B2" i="17"/>
  <c r="H2" i="17"/>
  <c r="B3" i="17"/>
  <c r="D8" i="17" s="1"/>
  <c r="E3" i="17"/>
  <c r="B4" i="17" s="1"/>
  <c r="B6" i="17"/>
  <c r="B8" i="17"/>
  <c r="B2" i="16"/>
  <c r="H2" i="16"/>
  <c r="B3" i="16"/>
  <c r="D8" i="16" s="1"/>
  <c r="B6" i="16"/>
  <c r="B8" i="16"/>
  <c r="B2" i="15"/>
  <c r="H2" i="15"/>
  <c r="B3" i="15"/>
  <c r="D8" i="15" s="1"/>
  <c r="E3" i="15"/>
  <c r="B4" i="15"/>
  <c r="B6" i="15"/>
  <c r="B8" i="15"/>
  <c r="B2" i="14"/>
  <c r="H2" i="14"/>
  <c r="E3" i="14"/>
  <c r="B4" i="14"/>
  <c r="B6" i="14"/>
  <c r="B8" i="14"/>
  <c r="B2" i="13"/>
  <c r="H2" i="13"/>
  <c r="B3" i="13"/>
  <c r="D8" i="13"/>
  <c r="E3" i="13"/>
  <c r="B4" i="13" s="1"/>
  <c r="B6" i="13"/>
  <c r="B8" i="13"/>
  <c r="B2" i="12"/>
  <c r="H2" i="12"/>
  <c r="B3" i="12"/>
  <c r="D8" i="12" s="1"/>
  <c r="E3" i="12"/>
  <c r="B4" i="12" s="1"/>
  <c r="B6" i="12"/>
  <c r="B8" i="12"/>
  <c r="B2" i="11"/>
  <c r="H2" i="11"/>
  <c r="B3" i="11"/>
  <c r="D8" i="11" s="1"/>
  <c r="E3" i="11"/>
  <c r="B4" i="11"/>
  <c r="B6" i="11"/>
  <c r="B8" i="11"/>
  <c r="B2" i="10"/>
  <c r="H2" i="10"/>
  <c r="B3" i="10"/>
  <c r="D8" i="10"/>
  <c r="E3" i="10"/>
  <c r="B4" i="10" s="1"/>
  <c r="B6" i="10"/>
  <c r="B8" i="10"/>
  <c r="B2" i="9"/>
  <c r="H2" i="9"/>
  <c r="B3" i="9"/>
  <c r="D8" i="9"/>
  <c r="E3" i="9"/>
  <c r="B4" i="9" s="1"/>
  <c r="B6" i="9"/>
  <c r="B8" i="9"/>
  <c r="B2" i="8"/>
  <c r="H2" i="8"/>
  <c r="B3" i="8"/>
  <c r="D8" i="8" s="1"/>
  <c r="E3" i="8"/>
  <c r="B4" i="8"/>
  <c r="B6" i="8"/>
  <c r="B8" i="8"/>
  <c r="B2" i="7"/>
  <c r="H2" i="7"/>
  <c r="B3" i="7"/>
  <c r="D8" i="7" s="1"/>
  <c r="E3" i="7"/>
  <c r="B4" i="7" s="1"/>
  <c r="B6" i="7"/>
  <c r="B8" i="7"/>
  <c r="B2" i="6"/>
  <c r="H2" i="6"/>
  <c r="B3" i="6"/>
  <c r="D8" i="6"/>
  <c r="E3" i="6"/>
  <c r="B4" i="6" s="1"/>
  <c r="B6" i="6"/>
  <c r="B8" i="6"/>
  <c r="B2" i="5"/>
  <c r="H2" i="5"/>
  <c r="B3" i="5"/>
  <c r="D8" i="5" s="1"/>
  <c r="E3" i="5"/>
  <c r="B4" i="5"/>
  <c r="B6" i="5"/>
  <c r="B8" i="5"/>
  <c r="B2" i="4"/>
  <c r="H2" i="4"/>
  <c r="B3" i="4"/>
  <c r="D8" i="4"/>
  <c r="E3" i="4"/>
  <c r="B4" i="4" s="1"/>
  <c r="B6" i="4"/>
  <c r="B8" i="4"/>
  <c r="B2" i="3"/>
  <c r="H2" i="3"/>
  <c r="B3" i="3"/>
  <c r="D8" i="3"/>
  <c r="E3" i="3"/>
  <c r="B4" i="3"/>
  <c r="B6" i="3"/>
  <c r="B8" i="3"/>
  <c r="B2" i="2"/>
  <c r="H2" i="2"/>
  <c r="B3" i="2"/>
  <c r="D8" i="2" s="1"/>
  <c r="E3" i="2"/>
  <c r="B4" i="2"/>
  <c r="B6" i="2"/>
  <c r="B8" i="2"/>
  <c r="O4" i="1"/>
  <c r="H3" i="2"/>
  <c r="B9" i="2"/>
  <c r="O6" i="1"/>
  <c r="H3" i="3"/>
  <c r="B9" i="3"/>
  <c r="O8" i="1"/>
  <c r="H3" i="4"/>
  <c r="B9" i="4" s="1"/>
  <c r="O10" i="1"/>
  <c r="H3" i="5"/>
  <c r="B9" i="5" s="1"/>
  <c r="O11" i="1"/>
  <c r="H3" i="6" s="1"/>
  <c r="B9" i="6" s="1"/>
  <c r="O12" i="1"/>
  <c r="H3" i="7" s="1"/>
  <c r="B9" i="7" s="1"/>
  <c r="O13" i="1"/>
  <c r="H3" i="8" s="1"/>
  <c r="B9" i="8" s="1"/>
  <c r="O14" i="1"/>
  <c r="H3" i="9"/>
  <c r="B9" i="9" s="1"/>
  <c r="O15" i="1"/>
  <c r="H3" i="10" s="1"/>
  <c r="B9" i="10" s="1"/>
  <c r="O16" i="1"/>
  <c r="H3" i="11"/>
  <c r="B9" i="11" s="1"/>
  <c r="O17" i="1"/>
  <c r="H3" i="12"/>
  <c r="B9" i="12" s="1"/>
  <c r="O18" i="1"/>
  <c r="H3" i="13"/>
  <c r="B9" i="13" s="1"/>
  <c r="O19" i="1"/>
  <c r="H3" i="14" s="1"/>
  <c r="B9" i="14" s="1"/>
  <c r="O20" i="1"/>
  <c r="H3" i="15"/>
  <c r="B9" i="15" s="1"/>
  <c r="E3" i="16"/>
  <c r="B4" i="16" s="1"/>
  <c r="O21" i="1"/>
  <c r="H3" i="16"/>
  <c r="B9" i="16"/>
  <c r="O22" i="1"/>
  <c r="H3" i="17" s="1"/>
  <c r="B9" i="17" s="1"/>
  <c r="E3" i="18"/>
  <c r="B4" i="18"/>
  <c r="O23" i="1"/>
  <c r="H3" i="18"/>
  <c r="B9" i="18" s="1"/>
  <c r="E3" i="19"/>
  <c r="B4" i="19" s="1"/>
  <c r="O24" i="1"/>
  <c r="H3" i="19"/>
  <c r="B9" i="19"/>
  <c r="E3" i="20"/>
  <c r="B4" i="20" s="1"/>
  <c r="O25" i="1"/>
  <c r="H3" i="20"/>
  <c r="B9" i="20" s="1"/>
  <c r="E3" i="21"/>
  <c r="B4" i="21"/>
  <c r="O26" i="1"/>
  <c r="H3" i="21"/>
  <c r="B9" i="21"/>
  <c r="E3" i="22"/>
  <c r="B4" i="22"/>
  <c r="O27" i="1"/>
  <c r="H3" i="22" s="1"/>
  <c r="B9" i="22" s="1"/>
  <c r="E3" i="23"/>
  <c r="B4" i="23"/>
  <c r="O28" i="1"/>
  <c r="H3" i="23" s="1"/>
  <c r="B9" i="23" s="1"/>
  <c r="O29" i="1"/>
  <c r="H3" i="24" s="1"/>
  <c r="B9" i="24" s="1"/>
  <c r="O30" i="1"/>
  <c r="H3" i="25" s="1"/>
  <c r="B9" i="25" s="1"/>
  <c r="O31" i="1"/>
  <c r="H3" i="26"/>
  <c r="B9" i="26" s="1"/>
  <c r="O32" i="1"/>
  <c r="H3" i="27"/>
  <c r="B9" i="27" s="1"/>
  <c r="O33" i="1"/>
  <c r="H3" i="28"/>
  <c r="B9" i="28"/>
  <c r="H3" i="29"/>
  <c r="B9" i="29"/>
  <c r="C44" i="1"/>
  <c r="I47" i="1" s="1"/>
  <c r="I44" i="1"/>
  <c r="C45" i="1"/>
  <c r="C46" i="1"/>
  <c r="I46" i="1"/>
  <c r="I48" i="1" s="1"/>
  <c r="H2" i="1" s="1"/>
  <c r="D5" i="8"/>
  <c r="D5" i="18"/>
  <c r="D5" i="3"/>
  <c r="D5" i="48"/>
  <c r="D5" i="47"/>
  <c r="D5" i="37"/>
  <c r="D5" i="27"/>
  <c r="D5" i="44"/>
  <c r="D5" i="25"/>
  <c r="D5" i="24"/>
  <c r="D5" i="31"/>
  <c r="D5" i="22"/>
  <c r="D5" i="50"/>
  <c r="D5" i="29"/>
  <c r="D5" i="19"/>
  <c r="D5" i="6"/>
  <c r="D5" i="14"/>
  <c r="D5" i="43"/>
  <c r="D5" i="46"/>
  <c r="D5" i="49"/>
  <c r="D5" i="20"/>
  <c r="D5" i="35"/>
  <c r="D5" i="10"/>
  <c r="D5" i="30"/>
  <c r="D5" i="9"/>
  <c r="D5" i="32"/>
  <c r="D5" i="4"/>
  <c r="D5" i="34"/>
  <c r="D5" i="26"/>
  <c r="D5" i="36"/>
  <c r="D5" i="17"/>
  <c r="D5" i="40"/>
  <c r="D5" i="11"/>
  <c r="D5" i="12"/>
  <c r="D5" i="7"/>
  <c r="D5" i="33"/>
  <c r="D5" i="28"/>
  <c r="D5" i="2"/>
  <c r="D5" i="42"/>
  <c r="D5" i="39"/>
  <c r="D5" i="15"/>
  <c r="D5" i="21"/>
  <c r="D5" i="51"/>
  <c r="D5" i="38"/>
  <c r="D5" i="41"/>
  <c r="D5" i="13"/>
  <c r="D5" i="23"/>
  <c r="D5" i="16"/>
  <c r="D5" i="5"/>
  <c r="D5" i="45"/>
</calcChain>
</file>

<file path=xl/sharedStrings.xml><?xml version="1.0" encoding="utf-8"?>
<sst xmlns="http://schemas.openxmlformats.org/spreadsheetml/2006/main" count="248" uniqueCount="42">
  <si>
    <t>Total Score</t>
  </si>
  <si>
    <t>HIGH GAME POTS</t>
  </si>
  <si>
    <t>9-Tap Tour Inc.</t>
  </si>
  <si>
    <t>Finish</t>
  </si>
  <si>
    <t>Winners</t>
  </si>
  <si>
    <t>Side Pots</t>
  </si>
  <si>
    <t>Scratch Pot - High Game</t>
  </si>
  <si>
    <t>Scratch Pot - High Series</t>
  </si>
  <si>
    <t>Scratch-Series/Game Pot</t>
  </si>
  <si>
    <t>Total Payout:</t>
  </si>
  <si>
    <r>
      <t xml:space="preserve">   PROGRESSIVE POT TOTAL</t>
    </r>
    <r>
      <rPr>
        <b/>
        <sz val="12"/>
        <rFont val="Arial"/>
        <family val="2"/>
      </rPr>
      <t xml:space="preserve"> (for next Tournament)</t>
    </r>
  </si>
  <si>
    <t>2nd</t>
  </si>
  <si>
    <t>9-Tap Jackpot</t>
  </si>
  <si>
    <r>
      <t xml:space="preserve">   9-TAP JACKPOT TOTAL</t>
    </r>
    <r>
      <rPr>
        <b/>
        <sz val="12"/>
        <rFont val="Arial"/>
        <family val="2"/>
      </rPr>
      <t xml:space="preserve">         (for next Tournament)</t>
    </r>
  </si>
  <si>
    <t>Total Paid-Out</t>
  </si>
  <si>
    <t>Subtotal - Prize Fund</t>
  </si>
  <si>
    <t>Subtotal - Pots &amp; Awards</t>
  </si>
  <si>
    <t>Earnings</t>
  </si>
  <si>
    <r>
      <t xml:space="preserve"> </t>
    </r>
    <r>
      <rPr>
        <b/>
        <sz val="11"/>
        <rFont val="Arial"/>
        <family val="2"/>
      </rPr>
      <t>PRIZE FUND              Entries</t>
    </r>
  </si>
  <si>
    <t>x</t>
  </si>
  <si>
    <t xml:space="preserve">Progressive Pot </t>
  </si>
  <si>
    <t>SAT #1</t>
  </si>
  <si>
    <t>scores</t>
  </si>
  <si>
    <t xml:space="preserve">SAT #2  </t>
  </si>
  <si>
    <t>SAT #3</t>
  </si>
  <si>
    <t>Mbr #</t>
  </si>
  <si>
    <t>Mbrship$</t>
  </si>
  <si>
    <t>Adjust$</t>
  </si>
  <si>
    <t>Total $</t>
  </si>
  <si>
    <t>#</t>
  </si>
  <si>
    <t xml:space="preserve">1st Place </t>
  </si>
  <si>
    <t xml:space="preserve">2nd Place </t>
  </si>
  <si>
    <t xml:space="preserve">3rd Place </t>
  </si>
  <si>
    <t>Place</t>
  </si>
  <si>
    <t>$20 Progressive Pot</t>
  </si>
  <si>
    <t>Champion Shirt</t>
  </si>
  <si>
    <t>Mbrship Paid:</t>
  </si>
  <si>
    <t>sub total:</t>
  </si>
  <si>
    <t xml:space="preserve"> </t>
  </si>
  <si>
    <t>2nd/3rd</t>
  </si>
  <si>
    <t>SAT #4</t>
  </si>
  <si>
    <t>Hdcp +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</si>
</sst>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&quot;$&quot;#,##0.00"/>
    <numFmt numFmtId="167" formatCode="&quot;$&quot;#,##0"/>
    <numFmt numFmtId="169" formatCode="[$-409]mmmm\ d\,\ yyyy;@"/>
  </numFmts>
  <fonts count="19" x14ac:knownFonts="1">
    <font>
      <sz val="10"/>
      <name val="Arial"/>
    </font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b/>
      <sz val="14"/>
      <color indexed="10"/>
      <name val="Arial"/>
      <family val="2"/>
    </font>
    <font>
      <b/>
      <i/>
      <sz val="26"/>
      <name val="Arial Black"/>
      <family val="2"/>
    </font>
    <font>
      <b/>
      <sz val="9"/>
      <name val="Arial"/>
      <family val="2"/>
    </font>
    <font>
      <b/>
      <sz val="12"/>
      <color indexed="10"/>
      <name val="Arial"/>
      <family val="2"/>
    </font>
    <font>
      <b/>
      <sz val="14"/>
      <color indexed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6"/>
      <color indexed="10"/>
      <name val="Arial"/>
      <family val="2"/>
    </font>
    <font>
      <sz val="10"/>
      <name val="Arial"/>
      <family val="2"/>
    </font>
    <font>
      <b/>
      <sz val="12"/>
      <name val="Georgia"/>
      <family val="1"/>
    </font>
    <font>
      <b/>
      <i/>
      <sz val="10"/>
      <name val="Arial Narrow"/>
      <family val="2"/>
    </font>
    <font>
      <b/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167" fontId="0" fillId="0" borderId="0" applyProtection="0"/>
    <xf numFmtId="167" fontId="1" fillId="0" borderId="0" applyFont="0" applyFill="0" applyBorder="0" applyAlignment="0" applyProtection="0"/>
  </cellStyleXfs>
  <cellXfs count="187">
    <xf numFmtId="167" fontId="0" fillId="0" borderId="0" xfId="0"/>
    <xf numFmtId="167" fontId="4" fillId="0" borderId="0" xfId="0" applyFont="1" applyBorder="1" applyAlignment="1">
      <alignment horizontal="center"/>
    </xf>
    <xf numFmtId="167" fontId="4" fillId="0" borderId="0" xfId="0" applyFont="1" applyBorder="1" applyAlignment="1">
      <alignment horizontal="left"/>
    </xf>
    <xf numFmtId="167" fontId="4" fillId="0" borderId="0" xfId="0" applyFont="1" applyBorder="1" applyAlignment="1"/>
    <xf numFmtId="6" fontId="4" fillId="0" borderId="1" xfId="0" applyNumberFormat="1" applyFont="1" applyBorder="1" applyAlignment="1">
      <alignment horizontal="center"/>
    </xf>
    <xf numFmtId="167" fontId="4" fillId="0" borderId="2" xfId="1" applyFont="1" applyBorder="1" applyAlignment="1">
      <alignment horizontal="center"/>
    </xf>
    <xf numFmtId="167" fontId="10" fillId="0" borderId="0" xfId="1" applyFont="1" applyBorder="1" applyAlignment="1">
      <alignment horizontal="center"/>
    </xf>
    <xf numFmtId="6" fontId="4" fillId="0" borderId="2" xfId="0" applyNumberFormat="1" applyFont="1" applyBorder="1" applyAlignment="1">
      <alignment horizontal="center"/>
    </xf>
    <xf numFmtId="0" fontId="12" fillId="0" borderId="3" xfId="0" applyNumberFormat="1" applyFont="1" applyBorder="1" applyAlignment="1">
      <alignment horizontal="center"/>
    </xf>
    <xf numFmtId="6" fontId="4" fillId="0" borderId="4" xfId="0" applyNumberFormat="1" applyFont="1" applyBorder="1" applyAlignment="1">
      <alignment horizontal="center"/>
    </xf>
    <xf numFmtId="167" fontId="10" fillId="0" borderId="5" xfId="1" applyFont="1" applyBorder="1" applyAlignment="1">
      <alignment horizontal="center"/>
    </xf>
    <xf numFmtId="167" fontId="4" fillId="0" borderId="6" xfId="0" applyFont="1" applyBorder="1" applyAlignment="1">
      <alignment horizontal="center"/>
    </xf>
    <xf numFmtId="167" fontId="4" fillId="0" borderId="7" xfId="0" applyNumberFormat="1" applyFont="1" applyBorder="1" applyAlignment="1">
      <alignment horizontal="center"/>
    </xf>
    <xf numFmtId="6" fontId="4" fillId="0" borderId="8" xfId="0" applyNumberFormat="1" applyFont="1" applyBorder="1" applyAlignment="1">
      <alignment horizontal="center"/>
    </xf>
    <xf numFmtId="6" fontId="4" fillId="0" borderId="3" xfId="0" applyNumberFormat="1" applyFont="1" applyBorder="1" applyAlignment="1">
      <alignment horizontal="center"/>
    </xf>
    <xf numFmtId="167" fontId="3" fillId="0" borderId="0" xfId="0" applyFont="1"/>
    <xf numFmtId="14" fontId="3" fillId="0" borderId="0" xfId="0" applyNumberFormat="1" applyFont="1" applyAlignment="1">
      <alignment horizontal="left"/>
    </xf>
    <xf numFmtId="167" fontId="3" fillId="0" borderId="0" xfId="0" applyFont="1" applyAlignment="1">
      <alignment horizontal="left"/>
    </xf>
    <xf numFmtId="167" fontId="4" fillId="0" borderId="0" xfId="0" applyFont="1"/>
    <xf numFmtId="167" fontId="4" fillId="0" borderId="0" xfId="0" applyFont="1" applyAlignment="1">
      <alignment horizontal="left"/>
    </xf>
    <xf numFmtId="167" fontId="5" fillId="0" borderId="0" xfId="0" applyFont="1"/>
    <xf numFmtId="164" fontId="3" fillId="0" borderId="0" xfId="0" applyNumberFormat="1" applyFont="1" applyAlignment="1">
      <alignment horizontal="left"/>
    </xf>
    <xf numFmtId="167" fontId="15" fillId="0" borderId="0" xfId="0" applyFont="1" applyBorder="1" applyAlignment="1"/>
    <xf numFmtId="167" fontId="0" fillId="0" borderId="9" xfId="0" applyBorder="1" applyAlignment="1">
      <alignment horizontal="center"/>
    </xf>
    <xf numFmtId="167" fontId="0" fillId="0" borderId="10" xfId="0" applyBorder="1" applyAlignment="1">
      <alignment horizontal="center"/>
    </xf>
    <xf numFmtId="20" fontId="0" fillId="0" borderId="11" xfId="0" applyNumberFormat="1" applyBorder="1" applyAlignment="1">
      <alignment horizontal="center"/>
    </xf>
    <xf numFmtId="167" fontId="0" fillId="0" borderId="12" xfId="0" applyBorder="1" applyAlignment="1">
      <alignment horizontal="center"/>
    </xf>
    <xf numFmtId="20" fontId="0" fillId="0" borderId="12" xfId="0" applyNumberFormat="1" applyBorder="1" applyAlignment="1">
      <alignment horizontal="center"/>
    </xf>
    <xf numFmtId="167" fontId="17" fillId="0" borderId="0" xfId="0" applyFont="1" applyAlignment="1">
      <alignment horizontal="center"/>
    </xf>
    <xf numFmtId="167" fontId="0" fillId="0" borderId="0" xfId="0" applyAlignment="1">
      <alignment horizontal="center"/>
    </xf>
    <xf numFmtId="167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7" fontId="0" fillId="0" borderId="0" xfId="0" applyAlignment="1">
      <alignment horizontal="left"/>
    </xf>
    <xf numFmtId="167" fontId="0" fillId="0" borderId="0" xfId="0" applyProtection="1">
      <protection hidden="1"/>
    </xf>
    <xf numFmtId="164" fontId="0" fillId="0" borderId="0" xfId="0" applyNumberFormat="1"/>
    <xf numFmtId="167" fontId="16" fillId="0" borderId="0" xfId="0" applyFont="1" applyAlignment="1"/>
    <xf numFmtId="0" fontId="4" fillId="0" borderId="5" xfId="0" applyNumberFormat="1" applyFont="1" applyBorder="1" applyAlignment="1" applyProtection="1">
      <alignment horizontal="center"/>
      <protection locked="0"/>
    </xf>
    <xf numFmtId="167" fontId="3" fillId="2" borderId="8" xfId="0" applyFont="1" applyFill="1" applyBorder="1" applyAlignment="1" applyProtection="1">
      <alignment horizontal="center"/>
      <protection locked="0"/>
    </xf>
    <xf numFmtId="167" fontId="3" fillId="2" borderId="5" xfId="0" applyFont="1" applyFill="1" applyBorder="1" applyAlignment="1" applyProtection="1">
      <alignment horizontal="center"/>
      <protection locked="0"/>
    </xf>
    <xf numFmtId="167" fontId="9" fillId="2" borderId="8" xfId="0" applyFont="1" applyFill="1" applyBorder="1" applyAlignment="1" applyProtection="1">
      <alignment horizontal="center"/>
      <protection locked="0"/>
    </xf>
    <xf numFmtId="167" fontId="4" fillId="0" borderId="5" xfId="0" applyNumberFormat="1" applyFont="1" applyBorder="1" applyAlignment="1" applyProtection="1">
      <alignment horizontal="center"/>
      <protection locked="0"/>
    </xf>
    <xf numFmtId="167" fontId="14" fillId="0" borderId="14" xfId="0" applyFont="1" applyBorder="1" applyAlignment="1" applyProtection="1">
      <alignment horizontal="right" vertical="center"/>
      <protection locked="0"/>
    </xf>
    <xf numFmtId="6" fontId="4" fillId="3" borderId="5" xfId="0" applyNumberFormat="1" applyFont="1" applyFill="1" applyBorder="1" applyAlignment="1" applyProtection="1">
      <alignment horizontal="center"/>
      <protection locked="0"/>
    </xf>
    <xf numFmtId="167" fontId="4" fillId="0" borderId="5" xfId="0" applyFont="1" applyBorder="1" applyAlignment="1" applyProtection="1">
      <alignment horizontal="center"/>
      <protection locked="0"/>
    </xf>
    <xf numFmtId="0" fontId="4" fillId="0" borderId="1" xfId="0" applyNumberFormat="1" applyFont="1" applyBorder="1" applyAlignment="1" applyProtection="1">
      <alignment horizontal="center"/>
      <protection locked="0"/>
    </xf>
    <xf numFmtId="167" fontId="4" fillId="0" borderId="1" xfId="0" applyFont="1" applyBorder="1" applyAlignment="1" applyProtection="1">
      <alignment horizontal="center"/>
      <protection locked="0"/>
    </xf>
    <xf numFmtId="0" fontId="4" fillId="0" borderId="2" xfId="0" applyNumberFormat="1" applyFont="1" applyBorder="1" applyAlignment="1" applyProtection="1">
      <alignment horizontal="center"/>
      <protection locked="0"/>
    </xf>
    <xf numFmtId="167" fontId="4" fillId="0" borderId="2" xfId="0" applyFont="1" applyBorder="1" applyAlignment="1" applyProtection="1">
      <alignment horizontal="center"/>
      <protection locked="0"/>
    </xf>
    <xf numFmtId="167" fontId="0" fillId="0" borderId="0" xfId="0" applyProtection="1">
      <protection locked="0"/>
    </xf>
    <xf numFmtId="167" fontId="4" fillId="0" borderId="0" xfId="0" applyFont="1" applyBorder="1" applyAlignment="1" applyProtection="1">
      <alignment horizontal="left"/>
      <protection locked="0"/>
    </xf>
    <xf numFmtId="167" fontId="4" fillId="0" borderId="0" xfId="0" applyFont="1" applyBorder="1" applyAlignment="1" applyProtection="1">
      <alignment horizontal="center"/>
      <protection locked="0"/>
    </xf>
    <xf numFmtId="167" fontId="4" fillId="0" borderId="4" xfId="0" applyFont="1" applyBorder="1" applyAlignment="1" applyProtection="1">
      <alignment horizontal="center"/>
      <protection locked="0"/>
    </xf>
    <xf numFmtId="6" fontId="4" fillId="0" borderId="15" xfId="0" applyNumberFormat="1" applyFont="1" applyBorder="1" applyAlignment="1" applyProtection="1">
      <alignment horizontal="center"/>
      <protection locked="0"/>
    </xf>
    <xf numFmtId="6" fontId="4" fillId="0" borderId="4" xfId="0" applyNumberFormat="1" applyFont="1" applyBorder="1" applyAlignment="1" applyProtection="1">
      <alignment horizontal="center"/>
      <protection locked="0"/>
    </xf>
    <xf numFmtId="3" fontId="4" fillId="0" borderId="16" xfId="0" applyNumberFormat="1" applyFont="1" applyBorder="1" applyAlignment="1" applyProtection="1">
      <alignment horizontal="center"/>
      <protection hidden="1"/>
    </xf>
    <xf numFmtId="167" fontId="4" fillId="0" borderId="15" xfId="0" applyFont="1" applyBorder="1" applyAlignment="1" applyProtection="1">
      <alignment horizontal="center"/>
      <protection hidden="1"/>
    </xf>
    <xf numFmtId="6" fontId="12" fillId="0" borderId="3" xfId="0" applyNumberFormat="1" applyFont="1" applyFill="1" applyBorder="1" applyAlignment="1">
      <alignment horizontal="center"/>
    </xf>
    <xf numFmtId="167" fontId="4" fillId="0" borderId="17" xfId="0" applyFont="1" applyBorder="1" applyAlignment="1" applyProtection="1">
      <alignment horizontal="center" vertical="center"/>
      <protection locked="0"/>
    </xf>
    <xf numFmtId="167" fontId="5" fillId="0" borderId="6" xfId="0" applyFont="1" applyBorder="1" applyAlignment="1" applyProtection="1">
      <alignment horizontal="center" vertical="center"/>
      <protection locked="0"/>
    </xf>
    <xf numFmtId="167" fontId="4" fillId="0" borderId="18" xfId="0" applyFont="1" applyBorder="1" applyAlignment="1" applyProtection="1">
      <alignment horizontal="center" vertical="center"/>
      <protection locked="0"/>
    </xf>
    <xf numFmtId="167" fontId="5" fillId="0" borderId="18" xfId="0" applyFont="1" applyBorder="1" applyAlignment="1" applyProtection="1">
      <alignment horizontal="center" vertical="center"/>
      <protection locked="0"/>
    </xf>
    <xf numFmtId="167" fontId="5" fillId="0" borderId="1" xfId="0" applyFont="1" applyBorder="1" applyAlignment="1" applyProtection="1">
      <alignment horizontal="center" vertical="center"/>
      <protection locked="0"/>
    </xf>
    <xf numFmtId="167" fontId="5" fillId="0" borderId="2" xfId="0" applyFont="1" applyBorder="1" applyAlignment="1" applyProtection="1">
      <alignment horizontal="center" vertical="center"/>
      <protection locked="0"/>
    </xf>
    <xf numFmtId="167" fontId="5" fillId="0" borderId="19" xfId="0" applyFont="1" applyBorder="1" applyAlignment="1" applyProtection="1">
      <alignment horizontal="center" vertical="center"/>
      <protection locked="0"/>
    </xf>
    <xf numFmtId="20" fontId="0" fillId="0" borderId="20" xfId="0" applyNumberFormat="1" applyBorder="1" applyAlignment="1">
      <alignment horizontal="center"/>
    </xf>
    <xf numFmtId="2" fontId="4" fillId="0" borderId="0" xfId="0" applyNumberFormat="1" applyFont="1" applyAlignment="1"/>
    <xf numFmtId="0" fontId="15" fillId="0" borderId="21" xfId="0" applyNumberFormat="1" applyFont="1" applyBorder="1" applyAlignment="1">
      <alignment horizontal="center"/>
    </xf>
    <xf numFmtId="0" fontId="15" fillId="0" borderId="22" xfId="0" applyNumberFormat="1" applyFont="1" applyBorder="1" applyAlignment="1">
      <alignment horizontal="center"/>
    </xf>
    <xf numFmtId="0" fontId="15" fillId="0" borderId="23" xfId="0" applyNumberFormat="1" applyFont="1" applyBorder="1" applyAlignment="1">
      <alignment horizontal="center"/>
    </xf>
    <xf numFmtId="0" fontId="15" fillId="0" borderId="24" xfId="0" applyNumberFormat="1" applyFont="1" applyBorder="1" applyAlignment="1">
      <alignment horizontal="center"/>
    </xf>
    <xf numFmtId="0" fontId="15" fillId="0" borderId="25" xfId="0" applyNumberFormat="1" applyFont="1" applyBorder="1" applyAlignment="1">
      <alignment horizontal="center"/>
    </xf>
    <xf numFmtId="0" fontId="15" fillId="0" borderId="26" xfId="0" applyNumberFormat="1" applyFont="1" applyBorder="1" applyAlignment="1">
      <alignment horizontal="center"/>
    </xf>
    <xf numFmtId="0" fontId="15" fillId="0" borderId="27" xfId="0" applyNumberFormat="1" applyFont="1" applyBorder="1" applyAlignment="1">
      <alignment horizontal="center"/>
    </xf>
    <xf numFmtId="0" fontId="15" fillId="0" borderId="28" xfId="0" applyNumberFormat="1" applyFont="1" applyBorder="1" applyAlignment="1">
      <alignment horizontal="center"/>
    </xf>
    <xf numFmtId="0" fontId="0" fillId="0" borderId="26" xfId="0" applyNumberFormat="1" applyBorder="1" applyAlignment="1">
      <alignment horizontal="center"/>
    </xf>
    <xf numFmtId="167" fontId="0" fillId="0" borderId="16" xfId="0" applyBorder="1" applyAlignment="1"/>
    <xf numFmtId="0" fontId="0" fillId="0" borderId="24" xfId="0" applyNumberFormat="1" applyBorder="1" applyAlignment="1">
      <alignment horizontal="center"/>
    </xf>
    <xf numFmtId="0" fontId="0" fillId="0" borderId="27" xfId="0" applyNumberFormat="1" applyBorder="1" applyAlignment="1">
      <alignment horizontal="center"/>
    </xf>
    <xf numFmtId="0" fontId="0" fillId="0" borderId="28" xfId="0" applyNumberFormat="1" applyBorder="1" applyAlignment="1">
      <alignment horizontal="center"/>
    </xf>
    <xf numFmtId="20" fontId="0" fillId="0" borderId="29" xfId="0" applyNumberFormat="1" applyBorder="1" applyAlignment="1">
      <alignment horizontal="center"/>
    </xf>
    <xf numFmtId="0" fontId="0" fillId="0" borderId="30" xfId="0" applyNumberFormat="1" applyBorder="1" applyAlignment="1">
      <alignment horizontal="center"/>
    </xf>
    <xf numFmtId="0" fontId="0" fillId="0" borderId="29" xfId="0" applyNumberFormat="1" applyBorder="1" applyAlignment="1">
      <alignment horizontal="center"/>
    </xf>
    <xf numFmtId="167" fontId="4" fillId="0" borderId="39" xfId="0" applyFont="1" applyBorder="1" applyAlignment="1" applyProtection="1">
      <alignment horizontal="center"/>
      <protection locked="0"/>
    </xf>
    <xf numFmtId="167" fontId="4" fillId="0" borderId="15" xfId="0" applyFont="1" applyBorder="1" applyAlignment="1" applyProtection="1">
      <alignment horizontal="center"/>
      <protection locked="0"/>
    </xf>
    <xf numFmtId="167" fontId="6" fillId="0" borderId="36" xfId="0" applyFont="1" applyBorder="1" applyAlignment="1" applyProtection="1">
      <alignment horizontal="center" vertical="center"/>
      <protection locked="0"/>
    </xf>
    <xf numFmtId="167" fontId="6" fillId="0" borderId="3" xfId="0" applyFont="1" applyBorder="1" applyAlignment="1" applyProtection="1">
      <alignment horizontal="center" vertical="center"/>
      <protection locked="0"/>
    </xf>
    <xf numFmtId="167" fontId="6" fillId="0" borderId="5" xfId="0" applyFont="1" applyBorder="1" applyAlignment="1" applyProtection="1">
      <alignment horizontal="center" vertical="center"/>
      <protection locked="0"/>
    </xf>
    <xf numFmtId="164" fontId="6" fillId="0" borderId="36" xfId="0" applyNumberFormat="1" applyFont="1" applyBorder="1" applyAlignment="1" applyProtection="1">
      <alignment horizontal="center" vertical="center"/>
      <protection locked="0"/>
    </xf>
    <xf numFmtId="164" fontId="6" fillId="0" borderId="5" xfId="0" applyNumberFormat="1" applyFont="1" applyBorder="1" applyAlignment="1" applyProtection="1">
      <alignment horizontal="center" vertical="center"/>
      <protection locked="0"/>
    </xf>
    <xf numFmtId="0" fontId="4" fillId="0" borderId="37" xfId="0" applyNumberFormat="1" applyFont="1" applyBorder="1" applyAlignment="1" applyProtection="1">
      <alignment horizontal="center"/>
      <protection locked="0"/>
    </xf>
    <xf numFmtId="0" fontId="4" fillId="0" borderId="38" xfId="0" applyNumberFormat="1" applyFont="1" applyBorder="1" applyAlignment="1" applyProtection="1">
      <alignment horizontal="center"/>
      <protection locked="0"/>
    </xf>
    <xf numFmtId="0" fontId="4" fillId="0" borderId="4" xfId="0" applyNumberFormat="1" applyFont="1" applyBorder="1" applyAlignment="1" applyProtection="1">
      <alignment horizontal="center"/>
      <protection locked="0"/>
    </xf>
    <xf numFmtId="167" fontId="4" fillId="0" borderId="37" xfId="0" applyFont="1" applyBorder="1" applyAlignment="1" applyProtection="1">
      <alignment horizontal="center"/>
      <protection locked="0"/>
    </xf>
    <xf numFmtId="167" fontId="4" fillId="0" borderId="4" xfId="0" applyFont="1" applyBorder="1" applyAlignment="1" applyProtection="1">
      <alignment horizontal="center"/>
      <protection locked="0"/>
    </xf>
    <xf numFmtId="0" fontId="4" fillId="0" borderId="39" xfId="0" applyNumberFormat="1" applyFont="1" applyBorder="1" applyAlignment="1" applyProtection="1">
      <alignment horizontal="center"/>
      <protection locked="0"/>
    </xf>
    <xf numFmtId="0" fontId="4" fillId="0" borderId="40" xfId="0" applyNumberFormat="1" applyFont="1" applyBorder="1" applyAlignment="1" applyProtection="1">
      <alignment horizontal="center"/>
      <protection locked="0"/>
    </xf>
    <xf numFmtId="0" fontId="4" fillId="0" borderId="15" xfId="0" applyNumberFormat="1" applyFont="1" applyBorder="1" applyAlignment="1" applyProtection="1">
      <alignment horizontal="center"/>
      <protection locked="0"/>
    </xf>
    <xf numFmtId="167" fontId="4" fillId="0" borderId="32" xfId="0" applyFont="1" applyBorder="1" applyAlignment="1">
      <alignment horizontal="left"/>
    </xf>
    <xf numFmtId="167" fontId="4" fillId="0" borderId="33" xfId="0" applyFont="1" applyBorder="1" applyAlignment="1">
      <alignment horizontal="left"/>
    </xf>
    <xf numFmtId="167" fontId="4" fillId="0" borderId="36" xfId="0" applyFont="1" applyBorder="1" applyAlignment="1">
      <alignment horizontal="left"/>
    </xf>
    <xf numFmtId="167" fontId="4" fillId="0" borderId="3" xfId="0" applyFont="1" applyBorder="1" applyAlignment="1">
      <alignment horizontal="left"/>
    </xf>
    <xf numFmtId="167" fontId="4" fillId="0" borderId="5" xfId="0" applyFont="1" applyBorder="1" applyAlignment="1">
      <alignment horizontal="left"/>
    </xf>
    <xf numFmtId="167" fontId="5" fillId="0" borderId="14" xfId="0" applyFont="1" applyBorder="1" applyAlignment="1">
      <alignment horizontal="left"/>
    </xf>
    <xf numFmtId="167" fontId="5" fillId="0" borderId="16" xfId="0" applyFont="1" applyBorder="1" applyAlignment="1">
      <alignment horizontal="left"/>
    </xf>
    <xf numFmtId="167" fontId="5" fillId="0" borderId="7" xfId="0" applyFont="1" applyBorder="1" applyAlignment="1">
      <alignment horizontal="left"/>
    </xf>
    <xf numFmtId="167" fontId="5" fillId="0" borderId="37" xfId="0" applyFont="1" applyBorder="1" applyAlignment="1">
      <alignment horizontal="left"/>
    </xf>
    <xf numFmtId="167" fontId="5" fillId="0" borderId="38" xfId="0" applyFont="1" applyBorder="1" applyAlignment="1">
      <alignment horizontal="left"/>
    </xf>
    <xf numFmtId="167" fontId="5" fillId="0" borderId="4" xfId="0" applyFont="1" applyBorder="1" applyAlignment="1">
      <alignment horizontal="left"/>
    </xf>
    <xf numFmtId="167" fontId="4" fillId="0" borderId="36" xfId="0" applyFont="1" applyBorder="1" applyAlignment="1" applyProtection="1">
      <alignment horizontal="center"/>
      <protection locked="0"/>
    </xf>
    <xf numFmtId="167" fontId="4" fillId="0" borderId="5" xfId="0" applyFont="1" applyBorder="1" applyAlignment="1" applyProtection="1">
      <alignment horizontal="center"/>
      <protection locked="0"/>
    </xf>
    <xf numFmtId="164" fontId="0" fillId="0" borderId="24" xfId="0" applyNumberFormat="1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167" fontId="4" fillId="0" borderId="36" xfId="0" applyFont="1" applyBorder="1" applyAlignment="1">
      <alignment horizontal="center"/>
    </xf>
    <xf numFmtId="167" fontId="4" fillId="0" borderId="3" xfId="0" applyFont="1" applyBorder="1" applyAlignment="1">
      <alignment horizontal="center"/>
    </xf>
    <xf numFmtId="167" fontId="4" fillId="0" borderId="5" xfId="0" applyFont="1" applyBorder="1" applyAlignment="1">
      <alignment horizontal="center"/>
    </xf>
    <xf numFmtId="167" fontId="4" fillId="0" borderId="37" xfId="0" applyFont="1" applyBorder="1" applyAlignment="1">
      <alignment horizontal="left"/>
    </xf>
    <xf numFmtId="167" fontId="4" fillId="0" borderId="4" xfId="0" applyFont="1" applyBorder="1" applyAlignment="1">
      <alignment horizontal="left"/>
    </xf>
    <xf numFmtId="167" fontId="13" fillId="0" borderId="36" xfId="0" applyFont="1" applyBorder="1" applyAlignment="1">
      <alignment horizontal="left"/>
    </xf>
    <xf numFmtId="167" fontId="13" fillId="0" borderId="3" xfId="0" applyFont="1" applyBorder="1" applyAlignment="1">
      <alignment horizontal="left"/>
    </xf>
    <xf numFmtId="167" fontId="4" fillId="0" borderId="39" xfId="0" applyFont="1" applyBorder="1" applyAlignment="1">
      <alignment horizontal="left"/>
    </xf>
    <xf numFmtId="167" fontId="4" fillId="0" borderId="40" xfId="0" applyFont="1" applyBorder="1" applyAlignment="1">
      <alignment horizontal="left"/>
    </xf>
    <xf numFmtId="0" fontId="15" fillId="0" borderId="24" xfId="0" applyNumberFormat="1" applyFont="1" applyBorder="1" applyAlignment="1">
      <alignment horizontal="center"/>
    </xf>
    <xf numFmtId="0" fontId="0" fillId="0" borderId="26" xfId="0" applyNumberFormat="1" applyBorder="1" applyAlignment="1">
      <alignment horizontal="center"/>
    </xf>
    <xf numFmtId="0" fontId="15" fillId="0" borderId="33" xfId="0" applyNumberFormat="1" applyFont="1" applyBorder="1" applyAlignment="1">
      <alignment horizontal="center"/>
    </xf>
    <xf numFmtId="167" fontId="18" fillId="0" borderId="36" xfId="0" applyFont="1" applyBorder="1" applyAlignment="1" applyProtection="1">
      <alignment horizontal="center"/>
      <protection locked="0"/>
    </xf>
    <xf numFmtId="167" fontId="4" fillId="0" borderId="3" xfId="0" applyFont="1" applyBorder="1" applyAlignment="1" applyProtection="1">
      <alignment horizontal="center"/>
      <protection locked="0"/>
    </xf>
    <xf numFmtId="0" fontId="15" fillId="0" borderId="38" xfId="0" applyNumberFormat="1" applyFont="1" applyBorder="1" applyAlignment="1">
      <alignment horizontal="center"/>
    </xf>
    <xf numFmtId="0" fontId="0" fillId="0" borderId="22" xfId="0" applyNumberFormat="1" applyBorder="1" applyAlignment="1">
      <alignment horizontal="center"/>
    </xf>
    <xf numFmtId="0" fontId="15" fillId="0" borderId="21" xfId="0" applyNumberFormat="1" applyFont="1" applyBorder="1" applyAlignment="1">
      <alignment horizontal="center"/>
    </xf>
    <xf numFmtId="167" fontId="5" fillId="0" borderId="39" xfId="0" applyFont="1" applyBorder="1" applyAlignment="1">
      <alignment horizontal="left"/>
    </xf>
    <xf numFmtId="167" fontId="5" fillId="0" borderId="40" xfId="0" applyFont="1" applyBorder="1" applyAlignment="1">
      <alignment horizontal="left"/>
    </xf>
    <xf numFmtId="167" fontId="5" fillId="0" borderId="15" xfId="0" applyFont="1" applyBorder="1" applyAlignment="1">
      <alignment horizontal="left"/>
    </xf>
    <xf numFmtId="164" fontId="0" fillId="0" borderId="21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4" fillId="0" borderId="32" xfId="0" applyNumberFormat="1" applyFont="1" applyBorder="1" applyAlignment="1" applyProtection="1">
      <alignment horizontal="center"/>
      <protection locked="0"/>
    </xf>
    <xf numFmtId="0" fontId="4" fillId="0" borderId="31" xfId="0" applyNumberFormat="1" applyFont="1" applyBorder="1" applyAlignment="1" applyProtection="1">
      <alignment horizontal="center"/>
      <protection locked="0"/>
    </xf>
    <xf numFmtId="167" fontId="4" fillId="0" borderId="32" xfId="0" applyFont="1" applyBorder="1" applyAlignment="1" applyProtection="1">
      <alignment horizontal="left"/>
      <protection hidden="1"/>
    </xf>
    <xf numFmtId="167" fontId="4" fillId="0" borderId="33" xfId="0" applyFont="1" applyBorder="1" applyAlignment="1" applyProtection="1">
      <alignment horizontal="left"/>
      <protection hidden="1"/>
    </xf>
    <xf numFmtId="167" fontId="4" fillId="0" borderId="31" xfId="0" applyFont="1" applyBorder="1" applyAlignment="1" applyProtection="1">
      <alignment horizontal="left"/>
      <protection hidden="1"/>
    </xf>
    <xf numFmtId="167" fontId="0" fillId="0" borderId="33" xfId="0" applyBorder="1" applyAlignment="1">
      <alignment horizontal="left"/>
    </xf>
    <xf numFmtId="167" fontId="0" fillId="0" borderId="31" xfId="0" applyBorder="1" applyAlignment="1">
      <alignment horizontal="left"/>
    </xf>
    <xf numFmtId="167" fontId="11" fillId="0" borderId="37" xfId="0" applyFont="1" applyFill="1" applyBorder="1" applyAlignment="1" applyProtection="1">
      <alignment horizontal="center" vertical="center"/>
      <protection locked="0"/>
    </xf>
    <xf numFmtId="167" fontId="11" fillId="0" borderId="38" xfId="0" applyFont="1" applyFill="1" applyBorder="1" applyAlignment="1" applyProtection="1">
      <alignment horizontal="center" vertical="center"/>
      <protection locked="0"/>
    </xf>
    <xf numFmtId="167" fontId="11" fillId="0" borderId="22" xfId="0" applyFont="1" applyFill="1" applyBorder="1" applyAlignment="1" applyProtection="1">
      <alignment horizontal="center" vertical="center"/>
      <protection locked="0"/>
    </xf>
    <xf numFmtId="14" fontId="11" fillId="0" borderId="39" xfId="0" applyNumberFormat="1" applyFont="1" applyFill="1" applyBorder="1" applyAlignment="1" applyProtection="1">
      <alignment horizontal="center" vertical="center"/>
      <protection locked="0"/>
    </xf>
    <xf numFmtId="14" fontId="11" fillId="0" borderId="40" xfId="0" applyNumberFormat="1" applyFont="1" applyFill="1" applyBorder="1" applyAlignment="1" applyProtection="1">
      <alignment horizontal="center" vertical="center"/>
      <protection locked="0"/>
    </xf>
    <xf numFmtId="14" fontId="11" fillId="0" borderId="29" xfId="0" applyNumberFormat="1" applyFont="1" applyFill="1" applyBorder="1" applyAlignment="1" applyProtection="1">
      <alignment horizontal="center" vertical="center"/>
      <protection locked="0"/>
    </xf>
    <xf numFmtId="164" fontId="14" fillId="0" borderId="16" xfId="0" applyNumberFormat="1" applyFont="1" applyBorder="1" applyAlignment="1" applyProtection="1">
      <alignment horizontal="left" vertical="center"/>
      <protection hidden="1"/>
    </xf>
    <xf numFmtId="164" fontId="14" fillId="0" borderId="7" xfId="0" applyNumberFormat="1" applyFont="1" applyBorder="1" applyAlignment="1" applyProtection="1">
      <alignment horizontal="left" vertical="center"/>
      <protection hidden="1"/>
    </xf>
    <xf numFmtId="0" fontId="4" fillId="0" borderId="36" xfId="0" applyNumberFormat="1" applyFont="1" applyBorder="1" applyAlignment="1" applyProtection="1">
      <alignment horizontal="center"/>
      <protection locked="0"/>
    </xf>
    <xf numFmtId="0" fontId="4" fillId="0" borderId="5" xfId="0" applyNumberFormat="1" applyFont="1" applyBorder="1" applyAlignment="1" applyProtection="1">
      <alignment horizontal="center"/>
      <protection locked="0"/>
    </xf>
    <xf numFmtId="167" fontId="2" fillId="0" borderId="41" xfId="0" applyFont="1" applyFill="1" applyBorder="1" applyAlignment="1" applyProtection="1">
      <alignment horizontal="center" vertical="center"/>
      <protection locked="0"/>
    </xf>
    <xf numFmtId="167" fontId="2" fillId="0" borderId="35" xfId="0" applyFont="1" applyFill="1" applyBorder="1" applyAlignment="1" applyProtection="1">
      <alignment horizontal="center" vertical="center"/>
      <protection locked="0"/>
    </xf>
    <xf numFmtId="164" fontId="7" fillId="0" borderId="42" xfId="1" applyNumberFormat="1" applyFont="1" applyFill="1" applyBorder="1" applyAlignment="1" applyProtection="1">
      <alignment horizontal="center"/>
      <protection hidden="1"/>
    </xf>
    <xf numFmtId="164" fontId="7" fillId="0" borderId="7" xfId="1" applyNumberFormat="1" applyFont="1" applyFill="1" applyBorder="1" applyAlignment="1" applyProtection="1">
      <alignment horizontal="center"/>
      <protection hidden="1"/>
    </xf>
    <xf numFmtId="169" fontId="8" fillId="0" borderId="41" xfId="0" applyNumberFormat="1" applyFont="1" applyFill="1" applyBorder="1" applyAlignment="1" applyProtection="1">
      <alignment horizontal="center" vertical="center"/>
      <protection locked="0"/>
    </xf>
    <xf numFmtId="169" fontId="8" fillId="0" borderId="34" xfId="0" applyNumberFormat="1" applyFont="1" applyFill="1" applyBorder="1" applyAlignment="1" applyProtection="1">
      <alignment horizontal="center" vertical="center"/>
      <protection locked="0"/>
    </xf>
    <xf numFmtId="169" fontId="8" fillId="0" borderId="43" xfId="0" applyNumberFormat="1" applyFont="1" applyFill="1" applyBorder="1" applyAlignment="1" applyProtection="1">
      <alignment horizontal="center" vertical="center"/>
      <protection locked="0"/>
    </xf>
    <xf numFmtId="169" fontId="8" fillId="0" borderId="42" xfId="0" applyNumberFormat="1" applyFont="1" applyFill="1" applyBorder="1" applyAlignment="1" applyProtection="1">
      <alignment horizontal="center" vertical="center"/>
      <protection locked="0"/>
    </xf>
    <xf numFmtId="169" fontId="8" fillId="0" borderId="16" xfId="0" applyNumberFormat="1" applyFont="1" applyFill="1" applyBorder="1" applyAlignment="1" applyProtection="1">
      <alignment horizontal="center" vertical="center"/>
      <protection locked="0"/>
    </xf>
    <xf numFmtId="169" fontId="8" fillId="0" borderId="44" xfId="0" applyNumberFormat="1" applyFont="1" applyFill="1" applyBorder="1" applyAlignment="1" applyProtection="1">
      <alignment horizontal="center" vertical="center"/>
      <protection locked="0"/>
    </xf>
    <xf numFmtId="167" fontId="6" fillId="0" borderId="9" xfId="0" applyFont="1" applyBorder="1" applyAlignment="1" applyProtection="1">
      <alignment horizontal="left" vertical="center"/>
      <protection hidden="1"/>
    </xf>
    <xf numFmtId="167" fontId="6" fillId="0" borderId="34" xfId="0" applyFont="1" applyBorder="1" applyAlignment="1" applyProtection="1">
      <alignment horizontal="left" vertical="center"/>
      <protection hidden="1"/>
    </xf>
    <xf numFmtId="167" fontId="6" fillId="0" borderId="35" xfId="0" applyFont="1" applyBorder="1" applyAlignment="1" applyProtection="1">
      <alignment horizontal="left" vertical="center"/>
      <protection hidden="1"/>
    </xf>
    <xf numFmtId="0" fontId="4" fillId="3" borderId="3" xfId="0" applyNumberFormat="1" applyFont="1" applyFill="1" applyBorder="1" applyAlignment="1" applyProtection="1">
      <alignment horizontal="center"/>
      <protection locked="0"/>
    </xf>
    <xf numFmtId="0" fontId="4" fillId="3" borderId="5" xfId="0" applyNumberFormat="1" applyFont="1" applyFill="1" applyBorder="1" applyAlignment="1" applyProtection="1">
      <alignment horizontal="center"/>
      <protection locked="0"/>
    </xf>
    <xf numFmtId="167" fontId="9" fillId="2" borderId="36" xfId="0" applyFont="1" applyFill="1" applyBorder="1" applyAlignment="1" applyProtection="1">
      <alignment horizontal="center"/>
      <protection locked="0"/>
    </xf>
    <xf numFmtId="167" fontId="9" fillId="2" borderId="5" xfId="0" applyFont="1" applyFill="1" applyBorder="1" applyAlignment="1" applyProtection="1">
      <alignment horizontal="center"/>
      <protection locked="0"/>
    </xf>
    <xf numFmtId="167" fontId="3" fillId="2" borderId="3" xfId="0" applyFont="1" applyFill="1" applyBorder="1" applyAlignment="1" applyProtection="1">
      <alignment horizontal="center"/>
      <protection locked="0"/>
    </xf>
    <xf numFmtId="167" fontId="3" fillId="2" borderId="5" xfId="0" applyFont="1" applyFill="1" applyBorder="1" applyAlignment="1" applyProtection="1">
      <alignment horizontal="center"/>
      <protection locked="0"/>
    </xf>
    <xf numFmtId="164" fontId="14" fillId="0" borderId="16" xfId="1" applyNumberFormat="1" applyFont="1" applyBorder="1" applyAlignment="1" applyProtection="1">
      <alignment horizontal="left" vertical="center"/>
      <protection hidden="1"/>
    </xf>
    <xf numFmtId="164" fontId="14" fillId="0" borderId="7" xfId="1" applyNumberFormat="1" applyFont="1" applyBorder="1" applyAlignment="1" applyProtection="1">
      <alignment horizontal="left" vertical="center"/>
      <protection hidden="1"/>
    </xf>
    <xf numFmtId="167" fontId="4" fillId="0" borderId="37" xfId="0" applyFont="1" applyBorder="1" applyAlignment="1" applyProtection="1">
      <alignment horizontal="left"/>
      <protection hidden="1"/>
    </xf>
    <xf numFmtId="167" fontId="4" fillId="0" borderId="38" xfId="0" applyFont="1" applyBorder="1" applyAlignment="1" applyProtection="1">
      <alignment horizontal="left"/>
      <protection hidden="1"/>
    </xf>
    <xf numFmtId="167" fontId="4" fillId="0" borderId="4" xfId="0" applyFont="1" applyBorder="1" applyAlignment="1" applyProtection="1">
      <alignment horizontal="left"/>
      <protection hidden="1"/>
    </xf>
    <xf numFmtId="0" fontId="0" fillId="0" borderId="30" xfId="0" applyNumberFormat="1" applyBorder="1" applyAlignment="1">
      <alignment horizontal="center"/>
    </xf>
    <xf numFmtId="0" fontId="0" fillId="0" borderId="29" xfId="0" applyNumberFormat="1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0" fillId="0" borderId="24" xfId="0" applyNumberFormat="1" applyBorder="1" applyAlignment="1">
      <alignment horizontal="center"/>
    </xf>
    <xf numFmtId="167" fontId="17" fillId="0" borderId="0" xfId="0" applyFont="1" applyAlignment="1">
      <alignment horizontal="right"/>
    </xf>
    <xf numFmtId="14" fontId="3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67" fontId="16" fillId="0" borderId="0" xfId="0" applyFont="1" applyAlignment="1">
      <alignment horizontal="center"/>
    </xf>
    <xf numFmtId="167" fontId="3" fillId="0" borderId="0" xfId="0" applyFont="1" applyAlignment="1">
      <alignment horizontal="right" vertical="center"/>
    </xf>
    <xf numFmtId="167" fontId="3" fillId="0" borderId="0" xfId="0" applyFont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1214" name="Picture 8" descr="1-Sig BOLD">
          <a:extLst>
            <a:ext uri="{FF2B5EF4-FFF2-40B4-BE49-F238E27FC236}">
              <a16:creationId xmlns:a16="http://schemas.microsoft.com/office/drawing/2014/main" id="{74AF3AE1-7EA2-DFE6-2844-5EF4EECA3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177204" name="Picture 8" descr="1-Sig BOLD">
          <a:extLst>
            <a:ext uri="{FF2B5EF4-FFF2-40B4-BE49-F238E27FC236}">
              <a16:creationId xmlns:a16="http://schemas.microsoft.com/office/drawing/2014/main" id="{3F5DBAE9-AA21-C951-5B22-B4EFCD762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178228" name="Picture 8" descr="1-Sig BOLD">
          <a:extLst>
            <a:ext uri="{FF2B5EF4-FFF2-40B4-BE49-F238E27FC236}">
              <a16:creationId xmlns:a16="http://schemas.microsoft.com/office/drawing/2014/main" id="{937A673D-F3ED-8FC8-2AF9-3056A127F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179252" name="Picture 8" descr="1-Sig BOLD">
          <a:extLst>
            <a:ext uri="{FF2B5EF4-FFF2-40B4-BE49-F238E27FC236}">
              <a16:creationId xmlns:a16="http://schemas.microsoft.com/office/drawing/2014/main" id="{8D7BD5B1-2836-CE6B-1682-4567D1E9F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180276" name="Picture 8" descr="1-Sig BOLD">
          <a:extLst>
            <a:ext uri="{FF2B5EF4-FFF2-40B4-BE49-F238E27FC236}">
              <a16:creationId xmlns:a16="http://schemas.microsoft.com/office/drawing/2014/main" id="{2DF0D4A5-0D81-164F-D1BE-74DCC5866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181300" name="Picture 8" descr="1-Sig BOLD">
          <a:extLst>
            <a:ext uri="{FF2B5EF4-FFF2-40B4-BE49-F238E27FC236}">
              <a16:creationId xmlns:a16="http://schemas.microsoft.com/office/drawing/2014/main" id="{87CBF41F-FE7A-99D8-0393-C94B40B18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176180" name="Picture 8" descr="1-Sig BOLD">
          <a:extLst>
            <a:ext uri="{FF2B5EF4-FFF2-40B4-BE49-F238E27FC236}">
              <a16:creationId xmlns:a16="http://schemas.microsoft.com/office/drawing/2014/main" id="{459A01B7-2AC5-DBF9-1AC2-2DBC3AB22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182324" name="Picture 8" descr="1-Sig BOLD">
          <a:extLst>
            <a:ext uri="{FF2B5EF4-FFF2-40B4-BE49-F238E27FC236}">
              <a16:creationId xmlns:a16="http://schemas.microsoft.com/office/drawing/2014/main" id="{DB55C1FF-5E12-F902-F0C6-428BDC1C1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183348" name="Picture 8" descr="1-Sig BOLD">
          <a:extLst>
            <a:ext uri="{FF2B5EF4-FFF2-40B4-BE49-F238E27FC236}">
              <a16:creationId xmlns:a16="http://schemas.microsoft.com/office/drawing/2014/main" id="{712C5B24-394F-5DF2-40F2-C68B3AFBB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184372" name="Picture 8" descr="1-Sig BOLD">
          <a:extLst>
            <a:ext uri="{FF2B5EF4-FFF2-40B4-BE49-F238E27FC236}">
              <a16:creationId xmlns:a16="http://schemas.microsoft.com/office/drawing/2014/main" id="{DFF36218-131E-0BBB-0E6D-9F5D2D299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185396" name="Picture 8" descr="1-Sig BOLD">
          <a:extLst>
            <a:ext uri="{FF2B5EF4-FFF2-40B4-BE49-F238E27FC236}">
              <a16:creationId xmlns:a16="http://schemas.microsoft.com/office/drawing/2014/main" id="{E1CE306D-D176-EF0D-2C2F-DB390FB9D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186420" name="Picture 8" descr="1-Sig BOLD">
          <a:extLst>
            <a:ext uri="{FF2B5EF4-FFF2-40B4-BE49-F238E27FC236}">
              <a16:creationId xmlns:a16="http://schemas.microsoft.com/office/drawing/2014/main" id="{0420149D-97C6-7655-B947-33020E00D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187444" name="Picture 8" descr="1-Sig BOLD">
          <a:extLst>
            <a:ext uri="{FF2B5EF4-FFF2-40B4-BE49-F238E27FC236}">
              <a16:creationId xmlns:a16="http://schemas.microsoft.com/office/drawing/2014/main" id="{17DF7C8F-AF85-4AEF-BCF3-D811F6BF3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188468" name="Picture 8" descr="1-Sig BOLD">
          <a:extLst>
            <a:ext uri="{FF2B5EF4-FFF2-40B4-BE49-F238E27FC236}">
              <a16:creationId xmlns:a16="http://schemas.microsoft.com/office/drawing/2014/main" id="{954B07AA-436A-43FE-95D6-21BF71A0C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189492" name="Picture 8" descr="1-Sig BOLD">
          <a:extLst>
            <a:ext uri="{FF2B5EF4-FFF2-40B4-BE49-F238E27FC236}">
              <a16:creationId xmlns:a16="http://schemas.microsoft.com/office/drawing/2014/main" id="{A525AAF2-68F6-3EFC-17A4-4D693E981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190516" name="Picture 8" descr="1-Sig BOLD">
          <a:extLst>
            <a:ext uri="{FF2B5EF4-FFF2-40B4-BE49-F238E27FC236}">
              <a16:creationId xmlns:a16="http://schemas.microsoft.com/office/drawing/2014/main" id="{5A1B8139-6D71-85EA-8770-F5FE8B71D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191540" name="Picture 8" descr="1-Sig BOLD">
          <a:extLst>
            <a:ext uri="{FF2B5EF4-FFF2-40B4-BE49-F238E27FC236}">
              <a16:creationId xmlns:a16="http://schemas.microsoft.com/office/drawing/2014/main" id="{7F7D18AB-1D5E-C480-4A24-00C90938C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192564" name="Picture 8" descr="1-Sig BOLD">
          <a:extLst>
            <a:ext uri="{FF2B5EF4-FFF2-40B4-BE49-F238E27FC236}">
              <a16:creationId xmlns:a16="http://schemas.microsoft.com/office/drawing/2014/main" id="{B139D5C2-242D-483F-8845-B2FEB29F0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193588" name="Picture 8" descr="1-Sig BOLD">
          <a:extLst>
            <a:ext uri="{FF2B5EF4-FFF2-40B4-BE49-F238E27FC236}">
              <a16:creationId xmlns:a16="http://schemas.microsoft.com/office/drawing/2014/main" id="{5C6316C8-207F-A0DF-23A5-12A487A4A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194612" name="Picture 8" descr="1-Sig BOLD">
          <a:extLst>
            <a:ext uri="{FF2B5EF4-FFF2-40B4-BE49-F238E27FC236}">
              <a16:creationId xmlns:a16="http://schemas.microsoft.com/office/drawing/2014/main" id="{8615EBFB-C3F5-35B2-7C48-998264054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195636" name="Picture 8" descr="1-Sig BOLD">
          <a:extLst>
            <a:ext uri="{FF2B5EF4-FFF2-40B4-BE49-F238E27FC236}">
              <a16:creationId xmlns:a16="http://schemas.microsoft.com/office/drawing/2014/main" id="{424DBCB7-CFCD-8CE9-EFC8-53E2FAADB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196660" name="Picture 8" descr="1-Sig BOLD">
          <a:extLst>
            <a:ext uri="{FF2B5EF4-FFF2-40B4-BE49-F238E27FC236}">
              <a16:creationId xmlns:a16="http://schemas.microsoft.com/office/drawing/2014/main" id="{6B359A12-64C7-52F5-B696-DCFA69FCF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197684" name="Picture 8" descr="1-Sig BOLD">
          <a:extLst>
            <a:ext uri="{FF2B5EF4-FFF2-40B4-BE49-F238E27FC236}">
              <a16:creationId xmlns:a16="http://schemas.microsoft.com/office/drawing/2014/main" id="{1927349C-6749-EF2C-83E2-74661A194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198708" name="Picture 8" descr="1-Sig BOLD">
          <a:extLst>
            <a:ext uri="{FF2B5EF4-FFF2-40B4-BE49-F238E27FC236}">
              <a16:creationId xmlns:a16="http://schemas.microsoft.com/office/drawing/2014/main" id="{96EC0B05-0227-6247-E6D4-7B2E678CA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199732" name="Picture 8" descr="1-Sig BOLD">
          <a:extLst>
            <a:ext uri="{FF2B5EF4-FFF2-40B4-BE49-F238E27FC236}">
              <a16:creationId xmlns:a16="http://schemas.microsoft.com/office/drawing/2014/main" id="{75F13A33-B540-3D8B-57EB-67F5ABC84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200756" name="Picture 8" descr="1-Sig BOLD">
          <a:extLst>
            <a:ext uri="{FF2B5EF4-FFF2-40B4-BE49-F238E27FC236}">
              <a16:creationId xmlns:a16="http://schemas.microsoft.com/office/drawing/2014/main" id="{3B0221AA-32C3-EB3E-3B1D-0707C7DF7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201780" name="Picture 8" descr="1-Sig BOLD">
          <a:extLst>
            <a:ext uri="{FF2B5EF4-FFF2-40B4-BE49-F238E27FC236}">
              <a16:creationId xmlns:a16="http://schemas.microsoft.com/office/drawing/2014/main" id="{15A23C8A-FD49-83EC-098F-1BD3EAD85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202804" name="Picture 8" descr="1-Sig BOLD">
          <a:extLst>
            <a:ext uri="{FF2B5EF4-FFF2-40B4-BE49-F238E27FC236}">
              <a16:creationId xmlns:a16="http://schemas.microsoft.com/office/drawing/2014/main" id="{6102AC2B-37C3-DF8C-1310-1B4375DAF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203828" name="Picture 8" descr="1-Sig BOLD">
          <a:extLst>
            <a:ext uri="{FF2B5EF4-FFF2-40B4-BE49-F238E27FC236}">
              <a16:creationId xmlns:a16="http://schemas.microsoft.com/office/drawing/2014/main" id="{C6ED0B83-D44D-9962-D848-EDB61A79B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204852" name="Picture 8" descr="1-Sig BOLD">
          <a:extLst>
            <a:ext uri="{FF2B5EF4-FFF2-40B4-BE49-F238E27FC236}">
              <a16:creationId xmlns:a16="http://schemas.microsoft.com/office/drawing/2014/main" id="{609B732D-6375-F416-0B4D-C001BD4F9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205876" name="Picture 8" descr="1-Sig BOLD">
          <a:extLst>
            <a:ext uri="{FF2B5EF4-FFF2-40B4-BE49-F238E27FC236}">
              <a16:creationId xmlns:a16="http://schemas.microsoft.com/office/drawing/2014/main" id="{97192946-C246-2AFB-4EB3-13684BE1A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206900" name="Picture 8" descr="1-Sig BOLD">
          <a:extLst>
            <a:ext uri="{FF2B5EF4-FFF2-40B4-BE49-F238E27FC236}">
              <a16:creationId xmlns:a16="http://schemas.microsoft.com/office/drawing/2014/main" id="{72160B22-6F66-7408-B63D-0FAF6511E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207924" name="Picture 8" descr="1-Sig BOLD">
          <a:extLst>
            <a:ext uri="{FF2B5EF4-FFF2-40B4-BE49-F238E27FC236}">
              <a16:creationId xmlns:a16="http://schemas.microsoft.com/office/drawing/2014/main" id="{6FAEE85C-14F1-D0A6-03E6-595406823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208948" name="Picture 8" descr="1-Sig BOLD">
          <a:extLst>
            <a:ext uri="{FF2B5EF4-FFF2-40B4-BE49-F238E27FC236}">
              <a16:creationId xmlns:a16="http://schemas.microsoft.com/office/drawing/2014/main" id="{C270E8A5-70E6-1FB5-191D-F46735789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209972" name="Picture 8" descr="1-Sig BOLD">
          <a:extLst>
            <a:ext uri="{FF2B5EF4-FFF2-40B4-BE49-F238E27FC236}">
              <a16:creationId xmlns:a16="http://schemas.microsoft.com/office/drawing/2014/main" id="{8A50EA57-B1A2-A0AA-8F87-280E5C7EC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210996" name="Picture 8" descr="1-Sig BOLD">
          <a:extLst>
            <a:ext uri="{FF2B5EF4-FFF2-40B4-BE49-F238E27FC236}">
              <a16:creationId xmlns:a16="http://schemas.microsoft.com/office/drawing/2014/main" id="{E01359BE-2348-A75D-2A36-BCCD32114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212020" name="Picture 8" descr="1-Sig BOLD">
          <a:extLst>
            <a:ext uri="{FF2B5EF4-FFF2-40B4-BE49-F238E27FC236}">
              <a16:creationId xmlns:a16="http://schemas.microsoft.com/office/drawing/2014/main" id="{A1EBE2CC-ABA4-8DC6-8B62-BE6C4C31C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213044" name="Picture 8" descr="1-Sig BOLD">
          <a:extLst>
            <a:ext uri="{FF2B5EF4-FFF2-40B4-BE49-F238E27FC236}">
              <a16:creationId xmlns:a16="http://schemas.microsoft.com/office/drawing/2014/main" id="{F79655BA-075B-60E9-69CF-F1AC86E5E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214068" name="Picture 8" descr="1-Sig BOLD">
          <a:extLst>
            <a:ext uri="{FF2B5EF4-FFF2-40B4-BE49-F238E27FC236}">
              <a16:creationId xmlns:a16="http://schemas.microsoft.com/office/drawing/2014/main" id="{128BC3C2-933B-1DDC-3793-D7680FD1B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215092" name="Picture 8" descr="1-Sig BOLD">
          <a:extLst>
            <a:ext uri="{FF2B5EF4-FFF2-40B4-BE49-F238E27FC236}">
              <a16:creationId xmlns:a16="http://schemas.microsoft.com/office/drawing/2014/main" id="{48A8CC6A-28FE-1A93-B69A-461845CDF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216116" name="Picture 8" descr="1-Sig BOLD">
          <a:extLst>
            <a:ext uri="{FF2B5EF4-FFF2-40B4-BE49-F238E27FC236}">
              <a16:creationId xmlns:a16="http://schemas.microsoft.com/office/drawing/2014/main" id="{EF44F912-6EB7-7959-B9C3-7CD6951CC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217140" name="Picture 8" descr="1-Sig BOLD">
          <a:extLst>
            <a:ext uri="{FF2B5EF4-FFF2-40B4-BE49-F238E27FC236}">
              <a16:creationId xmlns:a16="http://schemas.microsoft.com/office/drawing/2014/main" id="{2ABE6E4D-CCF4-8B1D-6818-590A7FB18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218164" name="Picture 8" descr="1-Sig BOLD">
          <a:extLst>
            <a:ext uri="{FF2B5EF4-FFF2-40B4-BE49-F238E27FC236}">
              <a16:creationId xmlns:a16="http://schemas.microsoft.com/office/drawing/2014/main" id="{41213BB0-4E6F-4C9C-1F13-3EC33C898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219188" name="Picture 8" descr="1-Sig BOLD">
          <a:extLst>
            <a:ext uri="{FF2B5EF4-FFF2-40B4-BE49-F238E27FC236}">
              <a16:creationId xmlns:a16="http://schemas.microsoft.com/office/drawing/2014/main" id="{9DDB1FDA-7272-9F88-89BB-C1B673783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220212" name="Picture 8" descr="1-Sig BOLD">
          <a:extLst>
            <a:ext uri="{FF2B5EF4-FFF2-40B4-BE49-F238E27FC236}">
              <a16:creationId xmlns:a16="http://schemas.microsoft.com/office/drawing/2014/main" id="{D25C00F7-2300-6AE6-3F02-C9763F165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221236" name="Picture 8" descr="1-Sig BOLD">
          <a:extLst>
            <a:ext uri="{FF2B5EF4-FFF2-40B4-BE49-F238E27FC236}">
              <a16:creationId xmlns:a16="http://schemas.microsoft.com/office/drawing/2014/main" id="{630B3FDD-206E-5088-9DA8-71E26551C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222260" name="Picture 8" descr="1-Sig BOLD">
          <a:extLst>
            <a:ext uri="{FF2B5EF4-FFF2-40B4-BE49-F238E27FC236}">
              <a16:creationId xmlns:a16="http://schemas.microsoft.com/office/drawing/2014/main" id="{27F24F9E-5EE2-9E04-8F3B-7EBB7EDFA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223284" name="Picture 8" descr="1-Sig BOLD">
          <a:extLst>
            <a:ext uri="{FF2B5EF4-FFF2-40B4-BE49-F238E27FC236}">
              <a16:creationId xmlns:a16="http://schemas.microsoft.com/office/drawing/2014/main" id="{7B48603E-0C72-C639-FB77-95E18BA13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224308" name="Picture 8" descr="1-Sig BOLD">
          <a:extLst>
            <a:ext uri="{FF2B5EF4-FFF2-40B4-BE49-F238E27FC236}">
              <a16:creationId xmlns:a16="http://schemas.microsoft.com/office/drawing/2014/main" id="{4C26D058-0219-3176-29A2-DCBA83B53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95250</xdr:rowOff>
    </xdr:from>
    <xdr:to>
      <xdr:col>8</xdr:col>
      <xdr:colOff>114300</xdr:colOff>
      <xdr:row>8</xdr:row>
      <xdr:rowOff>133350</xdr:rowOff>
    </xdr:to>
    <xdr:pic>
      <xdr:nvPicPr>
        <xdr:cNvPr id="225332" name="Picture 8" descr="1-Sig BOLD">
          <a:extLst>
            <a:ext uri="{FF2B5EF4-FFF2-40B4-BE49-F238E27FC236}">
              <a16:creationId xmlns:a16="http://schemas.microsoft.com/office/drawing/2014/main" id="{5486FE32-32C6-FAB3-768C-82DB9CECB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143000"/>
          <a:ext cx="8667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8.bin"/><Relationship Id="rId3" Type="http://schemas.openxmlformats.org/officeDocument/2006/relationships/printerSettings" Target="../printerSettings/printerSettings13.bin"/><Relationship Id="rId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printerSettings" Target="../printerSettings/printerSettings16.bin"/><Relationship Id="rId11" Type="http://schemas.openxmlformats.org/officeDocument/2006/relationships/drawing" Target="../drawings/drawing1.xml"/><Relationship Id="rId5" Type="http://schemas.openxmlformats.org/officeDocument/2006/relationships/printerSettings" Target="../printerSettings/printerSettings15.bin"/><Relationship Id="rId10" Type="http://schemas.openxmlformats.org/officeDocument/2006/relationships/printerSettings" Target="../printerSettings/printerSettings20.bin"/><Relationship Id="rId4" Type="http://schemas.openxmlformats.org/officeDocument/2006/relationships/printerSettings" Target="../printerSettings/printerSettings14.bin"/><Relationship Id="rId9" Type="http://schemas.openxmlformats.org/officeDocument/2006/relationships/printerSettings" Target="../printerSettings/printerSettings19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.bin"/><Relationship Id="rId7" Type="http://schemas.openxmlformats.org/officeDocument/2006/relationships/drawing" Target="../drawings/drawing2.x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6" Type="http://schemas.openxmlformats.org/officeDocument/2006/relationships/printerSettings" Target="../printerSettings/printerSettings26.bin"/><Relationship Id="rId5" Type="http://schemas.openxmlformats.org/officeDocument/2006/relationships/printerSettings" Target="../printerSettings/printerSettings25.bin"/><Relationship Id="rId4" Type="http://schemas.openxmlformats.org/officeDocument/2006/relationships/printerSettings" Target="../printerSettings/printerSettings2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9.bin"/><Relationship Id="rId7" Type="http://schemas.openxmlformats.org/officeDocument/2006/relationships/drawing" Target="../drawings/drawing3.xml"/><Relationship Id="rId2" Type="http://schemas.openxmlformats.org/officeDocument/2006/relationships/printerSettings" Target="../printerSettings/printerSettings28.bin"/><Relationship Id="rId1" Type="http://schemas.openxmlformats.org/officeDocument/2006/relationships/printerSettings" Target="../printerSettings/printerSettings27.bin"/><Relationship Id="rId6" Type="http://schemas.openxmlformats.org/officeDocument/2006/relationships/printerSettings" Target="../printerSettings/printerSettings32.bin"/><Relationship Id="rId5" Type="http://schemas.openxmlformats.org/officeDocument/2006/relationships/printerSettings" Target="../printerSettings/printerSettings31.bin"/><Relationship Id="rId4" Type="http://schemas.openxmlformats.org/officeDocument/2006/relationships/printerSettings" Target="../printerSettings/printerSettings30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5.bin"/><Relationship Id="rId7" Type="http://schemas.openxmlformats.org/officeDocument/2006/relationships/drawing" Target="../drawings/drawing4.xml"/><Relationship Id="rId2" Type="http://schemas.openxmlformats.org/officeDocument/2006/relationships/printerSettings" Target="../printerSettings/printerSettings34.bin"/><Relationship Id="rId1" Type="http://schemas.openxmlformats.org/officeDocument/2006/relationships/printerSettings" Target="../printerSettings/printerSettings33.bin"/><Relationship Id="rId6" Type="http://schemas.openxmlformats.org/officeDocument/2006/relationships/printerSettings" Target="../printerSettings/printerSettings38.bin"/><Relationship Id="rId5" Type="http://schemas.openxmlformats.org/officeDocument/2006/relationships/printerSettings" Target="../printerSettings/printerSettings37.bin"/><Relationship Id="rId4" Type="http://schemas.openxmlformats.org/officeDocument/2006/relationships/printerSettings" Target="../printerSettings/printerSettings3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1.bin"/><Relationship Id="rId7" Type="http://schemas.openxmlformats.org/officeDocument/2006/relationships/drawing" Target="../drawings/drawing5.xml"/><Relationship Id="rId2" Type="http://schemas.openxmlformats.org/officeDocument/2006/relationships/printerSettings" Target="../printerSettings/printerSettings40.bin"/><Relationship Id="rId1" Type="http://schemas.openxmlformats.org/officeDocument/2006/relationships/printerSettings" Target="../printerSettings/printerSettings39.bin"/><Relationship Id="rId6" Type="http://schemas.openxmlformats.org/officeDocument/2006/relationships/printerSettings" Target="../printerSettings/printerSettings44.bin"/><Relationship Id="rId5" Type="http://schemas.openxmlformats.org/officeDocument/2006/relationships/printerSettings" Target="../printerSettings/printerSettings43.bin"/><Relationship Id="rId4" Type="http://schemas.openxmlformats.org/officeDocument/2006/relationships/printerSettings" Target="../printerSettings/printerSettings4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7.bin"/><Relationship Id="rId7" Type="http://schemas.openxmlformats.org/officeDocument/2006/relationships/drawing" Target="../drawings/drawing6.xml"/><Relationship Id="rId2" Type="http://schemas.openxmlformats.org/officeDocument/2006/relationships/printerSettings" Target="../printerSettings/printerSettings46.bin"/><Relationship Id="rId1" Type="http://schemas.openxmlformats.org/officeDocument/2006/relationships/printerSettings" Target="../printerSettings/printerSettings45.bin"/><Relationship Id="rId6" Type="http://schemas.openxmlformats.org/officeDocument/2006/relationships/printerSettings" Target="../printerSettings/printerSettings50.bin"/><Relationship Id="rId5" Type="http://schemas.openxmlformats.org/officeDocument/2006/relationships/printerSettings" Target="../printerSettings/printerSettings49.bin"/><Relationship Id="rId4" Type="http://schemas.openxmlformats.org/officeDocument/2006/relationships/printerSettings" Target="../printerSettings/printerSettings48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3.bin"/><Relationship Id="rId7" Type="http://schemas.openxmlformats.org/officeDocument/2006/relationships/drawing" Target="../drawings/drawing7.xml"/><Relationship Id="rId2" Type="http://schemas.openxmlformats.org/officeDocument/2006/relationships/printerSettings" Target="../printerSettings/printerSettings52.bin"/><Relationship Id="rId1" Type="http://schemas.openxmlformats.org/officeDocument/2006/relationships/printerSettings" Target="../printerSettings/printerSettings51.bin"/><Relationship Id="rId6" Type="http://schemas.openxmlformats.org/officeDocument/2006/relationships/printerSettings" Target="../printerSettings/printerSettings56.bin"/><Relationship Id="rId5" Type="http://schemas.openxmlformats.org/officeDocument/2006/relationships/printerSettings" Target="../printerSettings/printerSettings55.bin"/><Relationship Id="rId4" Type="http://schemas.openxmlformats.org/officeDocument/2006/relationships/printerSettings" Target="../printerSettings/printerSettings5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9.bin"/><Relationship Id="rId7" Type="http://schemas.openxmlformats.org/officeDocument/2006/relationships/drawing" Target="../drawings/drawing8.xml"/><Relationship Id="rId2" Type="http://schemas.openxmlformats.org/officeDocument/2006/relationships/printerSettings" Target="../printerSettings/printerSettings58.bin"/><Relationship Id="rId1" Type="http://schemas.openxmlformats.org/officeDocument/2006/relationships/printerSettings" Target="../printerSettings/printerSettings57.bin"/><Relationship Id="rId6" Type="http://schemas.openxmlformats.org/officeDocument/2006/relationships/printerSettings" Target="../printerSettings/printerSettings62.bin"/><Relationship Id="rId5" Type="http://schemas.openxmlformats.org/officeDocument/2006/relationships/printerSettings" Target="../printerSettings/printerSettings61.bin"/><Relationship Id="rId4" Type="http://schemas.openxmlformats.org/officeDocument/2006/relationships/printerSettings" Target="../printerSettings/printerSettings60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5.bin"/><Relationship Id="rId7" Type="http://schemas.openxmlformats.org/officeDocument/2006/relationships/drawing" Target="../drawings/drawing9.xml"/><Relationship Id="rId2" Type="http://schemas.openxmlformats.org/officeDocument/2006/relationships/printerSettings" Target="../printerSettings/printerSettings64.bin"/><Relationship Id="rId1" Type="http://schemas.openxmlformats.org/officeDocument/2006/relationships/printerSettings" Target="../printerSettings/printerSettings63.bin"/><Relationship Id="rId6" Type="http://schemas.openxmlformats.org/officeDocument/2006/relationships/printerSettings" Target="../printerSettings/printerSettings68.bin"/><Relationship Id="rId5" Type="http://schemas.openxmlformats.org/officeDocument/2006/relationships/printerSettings" Target="../printerSettings/printerSettings67.bin"/><Relationship Id="rId4" Type="http://schemas.openxmlformats.org/officeDocument/2006/relationships/printerSettings" Target="../printerSettings/printerSettings6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1.bin"/><Relationship Id="rId7" Type="http://schemas.openxmlformats.org/officeDocument/2006/relationships/drawing" Target="../drawings/drawing10.xml"/><Relationship Id="rId2" Type="http://schemas.openxmlformats.org/officeDocument/2006/relationships/printerSettings" Target="../printerSettings/printerSettings70.bin"/><Relationship Id="rId1" Type="http://schemas.openxmlformats.org/officeDocument/2006/relationships/printerSettings" Target="../printerSettings/printerSettings69.bin"/><Relationship Id="rId6" Type="http://schemas.openxmlformats.org/officeDocument/2006/relationships/printerSettings" Target="../printerSettings/printerSettings74.bin"/><Relationship Id="rId5" Type="http://schemas.openxmlformats.org/officeDocument/2006/relationships/printerSettings" Target="../printerSettings/printerSettings73.bin"/><Relationship Id="rId4" Type="http://schemas.openxmlformats.org/officeDocument/2006/relationships/printerSettings" Target="../printerSettings/printerSettings72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7.bin"/><Relationship Id="rId7" Type="http://schemas.openxmlformats.org/officeDocument/2006/relationships/drawing" Target="../drawings/drawing11.xml"/><Relationship Id="rId2" Type="http://schemas.openxmlformats.org/officeDocument/2006/relationships/printerSettings" Target="../printerSettings/printerSettings76.bin"/><Relationship Id="rId1" Type="http://schemas.openxmlformats.org/officeDocument/2006/relationships/printerSettings" Target="../printerSettings/printerSettings75.bin"/><Relationship Id="rId6" Type="http://schemas.openxmlformats.org/officeDocument/2006/relationships/printerSettings" Target="../printerSettings/printerSettings80.bin"/><Relationship Id="rId5" Type="http://schemas.openxmlformats.org/officeDocument/2006/relationships/printerSettings" Target="../printerSettings/printerSettings79.bin"/><Relationship Id="rId4" Type="http://schemas.openxmlformats.org/officeDocument/2006/relationships/printerSettings" Target="../printerSettings/printerSettings78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3.bin"/><Relationship Id="rId7" Type="http://schemas.openxmlformats.org/officeDocument/2006/relationships/drawing" Target="../drawings/drawing12.xml"/><Relationship Id="rId2" Type="http://schemas.openxmlformats.org/officeDocument/2006/relationships/printerSettings" Target="../printerSettings/printerSettings82.bin"/><Relationship Id="rId1" Type="http://schemas.openxmlformats.org/officeDocument/2006/relationships/printerSettings" Target="../printerSettings/printerSettings81.bin"/><Relationship Id="rId6" Type="http://schemas.openxmlformats.org/officeDocument/2006/relationships/printerSettings" Target="../printerSettings/printerSettings86.bin"/><Relationship Id="rId5" Type="http://schemas.openxmlformats.org/officeDocument/2006/relationships/printerSettings" Target="../printerSettings/printerSettings85.bin"/><Relationship Id="rId4" Type="http://schemas.openxmlformats.org/officeDocument/2006/relationships/printerSettings" Target="../printerSettings/printerSettings84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9.bin"/><Relationship Id="rId7" Type="http://schemas.openxmlformats.org/officeDocument/2006/relationships/drawing" Target="../drawings/drawing13.xml"/><Relationship Id="rId2" Type="http://schemas.openxmlformats.org/officeDocument/2006/relationships/printerSettings" Target="../printerSettings/printerSettings88.bin"/><Relationship Id="rId1" Type="http://schemas.openxmlformats.org/officeDocument/2006/relationships/printerSettings" Target="../printerSettings/printerSettings87.bin"/><Relationship Id="rId6" Type="http://schemas.openxmlformats.org/officeDocument/2006/relationships/printerSettings" Target="../printerSettings/printerSettings92.bin"/><Relationship Id="rId5" Type="http://schemas.openxmlformats.org/officeDocument/2006/relationships/printerSettings" Target="../printerSettings/printerSettings91.bin"/><Relationship Id="rId4" Type="http://schemas.openxmlformats.org/officeDocument/2006/relationships/printerSettings" Target="../printerSettings/printerSettings9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5.bin"/><Relationship Id="rId7" Type="http://schemas.openxmlformats.org/officeDocument/2006/relationships/drawing" Target="../drawings/drawing14.xml"/><Relationship Id="rId2" Type="http://schemas.openxmlformats.org/officeDocument/2006/relationships/printerSettings" Target="../printerSettings/printerSettings94.bin"/><Relationship Id="rId1" Type="http://schemas.openxmlformats.org/officeDocument/2006/relationships/printerSettings" Target="../printerSettings/printerSettings93.bin"/><Relationship Id="rId6" Type="http://schemas.openxmlformats.org/officeDocument/2006/relationships/printerSettings" Target="../printerSettings/printerSettings98.bin"/><Relationship Id="rId5" Type="http://schemas.openxmlformats.org/officeDocument/2006/relationships/printerSettings" Target="../printerSettings/printerSettings97.bin"/><Relationship Id="rId4" Type="http://schemas.openxmlformats.org/officeDocument/2006/relationships/printerSettings" Target="../printerSettings/printerSettings96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1.bin"/><Relationship Id="rId7" Type="http://schemas.openxmlformats.org/officeDocument/2006/relationships/drawing" Target="../drawings/drawing15.xml"/><Relationship Id="rId2" Type="http://schemas.openxmlformats.org/officeDocument/2006/relationships/printerSettings" Target="../printerSettings/printerSettings100.bin"/><Relationship Id="rId1" Type="http://schemas.openxmlformats.org/officeDocument/2006/relationships/printerSettings" Target="../printerSettings/printerSettings99.bin"/><Relationship Id="rId6" Type="http://schemas.openxmlformats.org/officeDocument/2006/relationships/printerSettings" Target="../printerSettings/printerSettings104.bin"/><Relationship Id="rId5" Type="http://schemas.openxmlformats.org/officeDocument/2006/relationships/printerSettings" Target="../printerSettings/printerSettings103.bin"/><Relationship Id="rId4" Type="http://schemas.openxmlformats.org/officeDocument/2006/relationships/printerSettings" Target="../printerSettings/printerSettings10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7.bin"/><Relationship Id="rId7" Type="http://schemas.openxmlformats.org/officeDocument/2006/relationships/drawing" Target="../drawings/drawing16.xml"/><Relationship Id="rId2" Type="http://schemas.openxmlformats.org/officeDocument/2006/relationships/printerSettings" Target="../printerSettings/printerSettings106.bin"/><Relationship Id="rId1" Type="http://schemas.openxmlformats.org/officeDocument/2006/relationships/printerSettings" Target="../printerSettings/printerSettings105.bin"/><Relationship Id="rId6" Type="http://schemas.openxmlformats.org/officeDocument/2006/relationships/printerSettings" Target="../printerSettings/printerSettings110.bin"/><Relationship Id="rId5" Type="http://schemas.openxmlformats.org/officeDocument/2006/relationships/printerSettings" Target="../printerSettings/printerSettings109.bin"/><Relationship Id="rId4" Type="http://schemas.openxmlformats.org/officeDocument/2006/relationships/printerSettings" Target="../printerSettings/printerSettings108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3.bin"/><Relationship Id="rId7" Type="http://schemas.openxmlformats.org/officeDocument/2006/relationships/drawing" Target="../drawings/drawing17.xml"/><Relationship Id="rId2" Type="http://schemas.openxmlformats.org/officeDocument/2006/relationships/printerSettings" Target="../printerSettings/printerSettings112.bin"/><Relationship Id="rId1" Type="http://schemas.openxmlformats.org/officeDocument/2006/relationships/printerSettings" Target="../printerSettings/printerSettings111.bin"/><Relationship Id="rId6" Type="http://schemas.openxmlformats.org/officeDocument/2006/relationships/printerSettings" Target="../printerSettings/printerSettings116.bin"/><Relationship Id="rId5" Type="http://schemas.openxmlformats.org/officeDocument/2006/relationships/printerSettings" Target="../printerSettings/printerSettings115.bin"/><Relationship Id="rId4" Type="http://schemas.openxmlformats.org/officeDocument/2006/relationships/printerSettings" Target="../printerSettings/printerSettings11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9.bin"/><Relationship Id="rId7" Type="http://schemas.openxmlformats.org/officeDocument/2006/relationships/drawing" Target="../drawings/drawing18.xml"/><Relationship Id="rId2" Type="http://schemas.openxmlformats.org/officeDocument/2006/relationships/printerSettings" Target="../printerSettings/printerSettings118.bin"/><Relationship Id="rId1" Type="http://schemas.openxmlformats.org/officeDocument/2006/relationships/printerSettings" Target="../printerSettings/printerSettings117.bin"/><Relationship Id="rId6" Type="http://schemas.openxmlformats.org/officeDocument/2006/relationships/printerSettings" Target="../printerSettings/printerSettings122.bin"/><Relationship Id="rId5" Type="http://schemas.openxmlformats.org/officeDocument/2006/relationships/printerSettings" Target="../printerSettings/printerSettings121.bin"/><Relationship Id="rId4" Type="http://schemas.openxmlformats.org/officeDocument/2006/relationships/printerSettings" Target="../printerSettings/printerSettings120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5.bin"/><Relationship Id="rId7" Type="http://schemas.openxmlformats.org/officeDocument/2006/relationships/drawing" Target="../drawings/drawing19.xml"/><Relationship Id="rId2" Type="http://schemas.openxmlformats.org/officeDocument/2006/relationships/printerSettings" Target="../printerSettings/printerSettings124.bin"/><Relationship Id="rId1" Type="http://schemas.openxmlformats.org/officeDocument/2006/relationships/printerSettings" Target="../printerSettings/printerSettings123.bin"/><Relationship Id="rId6" Type="http://schemas.openxmlformats.org/officeDocument/2006/relationships/printerSettings" Target="../printerSettings/printerSettings128.bin"/><Relationship Id="rId5" Type="http://schemas.openxmlformats.org/officeDocument/2006/relationships/printerSettings" Target="../printerSettings/printerSettings127.bin"/><Relationship Id="rId4" Type="http://schemas.openxmlformats.org/officeDocument/2006/relationships/printerSettings" Target="../printerSettings/printerSettings126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1.bin"/><Relationship Id="rId7" Type="http://schemas.openxmlformats.org/officeDocument/2006/relationships/drawing" Target="../drawings/drawing20.xml"/><Relationship Id="rId2" Type="http://schemas.openxmlformats.org/officeDocument/2006/relationships/printerSettings" Target="../printerSettings/printerSettings130.bin"/><Relationship Id="rId1" Type="http://schemas.openxmlformats.org/officeDocument/2006/relationships/printerSettings" Target="../printerSettings/printerSettings129.bin"/><Relationship Id="rId6" Type="http://schemas.openxmlformats.org/officeDocument/2006/relationships/printerSettings" Target="../printerSettings/printerSettings134.bin"/><Relationship Id="rId5" Type="http://schemas.openxmlformats.org/officeDocument/2006/relationships/printerSettings" Target="../printerSettings/printerSettings133.bin"/><Relationship Id="rId4" Type="http://schemas.openxmlformats.org/officeDocument/2006/relationships/printerSettings" Target="../printerSettings/printerSettings132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7.bin"/><Relationship Id="rId7" Type="http://schemas.openxmlformats.org/officeDocument/2006/relationships/drawing" Target="../drawings/drawing21.xml"/><Relationship Id="rId2" Type="http://schemas.openxmlformats.org/officeDocument/2006/relationships/printerSettings" Target="../printerSettings/printerSettings136.bin"/><Relationship Id="rId1" Type="http://schemas.openxmlformats.org/officeDocument/2006/relationships/printerSettings" Target="../printerSettings/printerSettings135.bin"/><Relationship Id="rId6" Type="http://schemas.openxmlformats.org/officeDocument/2006/relationships/printerSettings" Target="../printerSettings/printerSettings140.bin"/><Relationship Id="rId5" Type="http://schemas.openxmlformats.org/officeDocument/2006/relationships/printerSettings" Target="../printerSettings/printerSettings139.bin"/><Relationship Id="rId4" Type="http://schemas.openxmlformats.org/officeDocument/2006/relationships/printerSettings" Target="../printerSettings/printerSettings138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3.bin"/><Relationship Id="rId7" Type="http://schemas.openxmlformats.org/officeDocument/2006/relationships/drawing" Target="../drawings/drawing22.xml"/><Relationship Id="rId2" Type="http://schemas.openxmlformats.org/officeDocument/2006/relationships/printerSettings" Target="../printerSettings/printerSettings142.bin"/><Relationship Id="rId1" Type="http://schemas.openxmlformats.org/officeDocument/2006/relationships/printerSettings" Target="../printerSettings/printerSettings141.bin"/><Relationship Id="rId6" Type="http://schemas.openxmlformats.org/officeDocument/2006/relationships/printerSettings" Target="../printerSettings/printerSettings146.bin"/><Relationship Id="rId5" Type="http://schemas.openxmlformats.org/officeDocument/2006/relationships/printerSettings" Target="../printerSettings/printerSettings145.bin"/><Relationship Id="rId4" Type="http://schemas.openxmlformats.org/officeDocument/2006/relationships/printerSettings" Target="../printerSettings/printerSettings144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9.bin"/><Relationship Id="rId7" Type="http://schemas.openxmlformats.org/officeDocument/2006/relationships/drawing" Target="../drawings/drawing23.xml"/><Relationship Id="rId2" Type="http://schemas.openxmlformats.org/officeDocument/2006/relationships/printerSettings" Target="../printerSettings/printerSettings148.bin"/><Relationship Id="rId1" Type="http://schemas.openxmlformats.org/officeDocument/2006/relationships/printerSettings" Target="../printerSettings/printerSettings147.bin"/><Relationship Id="rId6" Type="http://schemas.openxmlformats.org/officeDocument/2006/relationships/printerSettings" Target="../printerSettings/printerSettings152.bin"/><Relationship Id="rId5" Type="http://schemas.openxmlformats.org/officeDocument/2006/relationships/printerSettings" Target="../printerSettings/printerSettings151.bin"/><Relationship Id="rId4" Type="http://schemas.openxmlformats.org/officeDocument/2006/relationships/printerSettings" Target="../printerSettings/printerSettings150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5.bin"/><Relationship Id="rId7" Type="http://schemas.openxmlformats.org/officeDocument/2006/relationships/drawing" Target="../drawings/drawing24.xml"/><Relationship Id="rId2" Type="http://schemas.openxmlformats.org/officeDocument/2006/relationships/printerSettings" Target="../printerSettings/printerSettings154.bin"/><Relationship Id="rId1" Type="http://schemas.openxmlformats.org/officeDocument/2006/relationships/printerSettings" Target="../printerSettings/printerSettings153.bin"/><Relationship Id="rId6" Type="http://schemas.openxmlformats.org/officeDocument/2006/relationships/printerSettings" Target="../printerSettings/printerSettings158.bin"/><Relationship Id="rId5" Type="http://schemas.openxmlformats.org/officeDocument/2006/relationships/printerSettings" Target="../printerSettings/printerSettings157.bin"/><Relationship Id="rId4" Type="http://schemas.openxmlformats.org/officeDocument/2006/relationships/printerSettings" Target="../printerSettings/printerSettings156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1.bin"/><Relationship Id="rId7" Type="http://schemas.openxmlformats.org/officeDocument/2006/relationships/drawing" Target="../drawings/drawing25.xml"/><Relationship Id="rId2" Type="http://schemas.openxmlformats.org/officeDocument/2006/relationships/printerSettings" Target="../printerSettings/printerSettings160.bin"/><Relationship Id="rId1" Type="http://schemas.openxmlformats.org/officeDocument/2006/relationships/printerSettings" Target="../printerSettings/printerSettings159.bin"/><Relationship Id="rId6" Type="http://schemas.openxmlformats.org/officeDocument/2006/relationships/printerSettings" Target="../printerSettings/printerSettings164.bin"/><Relationship Id="rId5" Type="http://schemas.openxmlformats.org/officeDocument/2006/relationships/printerSettings" Target="../printerSettings/printerSettings163.bin"/><Relationship Id="rId4" Type="http://schemas.openxmlformats.org/officeDocument/2006/relationships/printerSettings" Target="../printerSettings/printerSettings162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7.bin"/><Relationship Id="rId7" Type="http://schemas.openxmlformats.org/officeDocument/2006/relationships/drawing" Target="../drawings/drawing26.xml"/><Relationship Id="rId2" Type="http://schemas.openxmlformats.org/officeDocument/2006/relationships/printerSettings" Target="../printerSettings/printerSettings166.bin"/><Relationship Id="rId1" Type="http://schemas.openxmlformats.org/officeDocument/2006/relationships/printerSettings" Target="../printerSettings/printerSettings165.bin"/><Relationship Id="rId6" Type="http://schemas.openxmlformats.org/officeDocument/2006/relationships/printerSettings" Target="../printerSettings/printerSettings170.bin"/><Relationship Id="rId5" Type="http://schemas.openxmlformats.org/officeDocument/2006/relationships/printerSettings" Target="../printerSettings/printerSettings169.bin"/><Relationship Id="rId4" Type="http://schemas.openxmlformats.org/officeDocument/2006/relationships/printerSettings" Target="../printerSettings/printerSettings168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3.bin"/><Relationship Id="rId7" Type="http://schemas.openxmlformats.org/officeDocument/2006/relationships/drawing" Target="../drawings/drawing27.xml"/><Relationship Id="rId2" Type="http://schemas.openxmlformats.org/officeDocument/2006/relationships/printerSettings" Target="../printerSettings/printerSettings172.bin"/><Relationship Id="rId1" Type="http://schemas.openxmlformats.org/officeDocument/2006/relationships/printerSettings" Target="../printerSettings/printerSettings171.bin"/><Relationship Id="rId6" Type="http://schemas.openxmlformats.org/officeDocument/2006/relationships/printerSettings" Target="../printerSettings/printerSettings176.bin"/><Relationship Id="rId5" Type="http://schemas.openxmlformats.org/officeDocument/2006/relationships/printerSettings" Target="../printerSettings/printerSettings175.bin"/><Relationship Id="rId4" Type="http://schemas.openxmlformats.org/officeDocument/2006/relationships/printerSettings" Target="../printerSettings/printerSettings174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9.bin"/><Relationship Id="rId7" Type="http://schemas.openxmlformats.org/officeDocument/2006/relationships/drawing" Target="../drawings/drawing28.xml"/><Relationship Id="rId2" Type="http://schemas.openxmlformats.org/officeDocument/2006/relationships/printerSettings" Target="../printerSettings/printerSettings178.bin"/><Relationship Id="rId1" Type="http://schemas.openxmlformats.org/officeDocument/2006/relationships/printerSettings" Target="../printerSettings/printerSettings177.bin"/><Relationship Id="rId6" Type="http://schemas.openxmlformats.org/officeDocument/2006/relationships/printerSettings" Target="../printerSettings/printerSettings182.bin"/><Relationship Id="rId5" Type="http://schemas.openxmlformats.org/officeDocument/2006/relationships/printerSettings" Target="../printerSettings/printerSettings181.bin"/><Relationship Id="rId4" Type="http://schemas.openxmlformats.org/officeDocument/2006/relationships/printerSettings" Target="../printerSettings/printerSettings180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5.bin"/><Relationship Id="rId7" Type="http://schemas.openxmlformats.org/officeDocument/2006/relationships/drawing" Target="../drawings/drawing29.xml"/><Relationship Id="rId2" Type="http://schemas.openxmlformats.org/officeDocument/2006/relationships/printerSettings" Target="../printerSettings/printerSettings184.bin"/><Relationship Id="rId1" Type="http://schemas.openxmlformats.org/officeDocument/2006/relationships/printerSettings" Target="../printerSettings/printerSettings183.bin"/><Relationship Id="rId6" Type="http://schemas.openxmlformats.org/officeDocument/2006/relationships/printerSettings" Target="../printerSettings/printerSettings188.bin"/><Relationship Id="rId5" Type="http://schemas.openxmlformats.org/officeDocument/2006/relationships/printerSettings" Target="../printerSettings/printerSettings187.bin"/><Relationship Id="rId4" Type="http://schemas.openxmlformats.org/officeDocument/2006/relationships/printerSettings" Target="../printerSettings/printerSettings186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1.bin"/><Relationship Id="rId7" Type="http://schemas.openxmlformats.org/officeDocument/2006/relationships/drawing" Target="../drawings/drawing30.xml"/><Relationship Id="rId2" Type="http://schemas.openxmlformats.org/officeDocument/2006/relationships/printerSettings" Target="../printerSettings/printerSettings190.bin"/><Relationship Id="rId1" Type="http://schemas.openxmlformats.org/officeDocument/2006/relationships/printerSettings" Target="../printerSettings/printerSettings189.bin"/><Relationship Id="rId6" Type="http://schemas.openxmlformats.org/officeDocument/2006/relationships/printerSettings" Target="../printerSettings/printerSettings194.bin"/><Relationship Id="rId5" Type="http://schemas.openxmlformats.org/officeDocument/2006/relationships/printerSettings" Target="../printerSettings/printerSettings193.bin"/><Relationship Id="rId4" Type="http://schemas.openxmlformats.org/officeDocument/2006/relationships/printerSettings" Target="../printerSettings/printerSettings192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7.bin"/><Relationship Id="rId7" Type="http://schemas.openxmlformats.org/officeDocument/2006/relationships/drawing" Target="../drawings/drawing31.xml"/><Relationship Id="rId2" Type="http://schemas.openxmlformats.org/officeDocument/2006/relationships/printerSettings" Target="../printerSettings/printerSettings196.bin"/><Relationship Id="rId1" Type="http://schemas.openxmlformats.org/officeDocument/2006/relationships/printerSettings" Target="../printerSettings/printerSettings195.bin"/><Relationship Id="rId6" Type="http://schemas.openxmlformats.org/officeDocument/2006/relationships/printerSettings" Target="../printerSettings/printerSettings200.bin"/><Relationship Id="rId5" Type="http://schemas.openxmlformats.org/officeDocument/2006/relationships/printerSettings" Target="../printerSettings/printerSettings199.bin"/><Relationship Id="rId4" Type="http://schemas.openxmlformats.org/officeDocument/2006/relationships/printerSettings" Target="../printerSettings/printerSettings198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3.bin"/><Relationship Id="rId7" Type="http://schemas.openxmlformats.org/officeDocument/2006/relationships/drawing" Target="../drawings/drawing32.xml"/><Relationship Id="rId2" Type="http://schemas.openxmlformats.org/officeDocument/2006/relationships/printerSettings" Target="../printerSettings/printerSettings202.bin"/><Relationship Id="rId1" Type="http://schemas.openxmlformats.org/officeDocument/2006/relationships/printerSettings" Target="../printerSettings/printerSettings201.bin"/><Relationship Id="rId6" Type="http://schemas.openxmlformats.org/officeDocument/2006/relationships/printerSettings" Target="../printerSettings/printerSettings206.bin"/><Relationship Id="rId5" Type="http://schemas.openxmlformats.org/officeDocument/2006/relationships/printerSettings" Target="../printerSettings/printerSettings205.bin"/><Relationship Id="rId4" Type="http://schemas.openxmlformats.org/officeDocument/2006/relationships/printerSettings" Target="../printerSettings/printerSettings204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9.bin"/><Relationship Id="rId7" Type="http://schemas.openxmlformats.org/officeDocument/2006/relationships/drawing" Target="../drawings/drawing33.xml"/><Relationship Id="rId2" Type="http://schemas.openxmlformats.org/officeDocument/2006/relationships/printerSettings" Target="../printerSettings/printerSettings208.bin"/><Relationship Id="rId1" Type="http://schemas.openxmlformats.org/officeDocument/2006/relationships/printerSettings" Target="../printerSettings/printerSettings207.bin"/><Relationship Id="rId6" Type="http://schemas.openxmlformats.org/officeDocument/2006/relationships/printerSettings" Target="../printerSettings/printerSettings212.bin"/><Relationship Id="rId5" Type="http://schemas.openxmlformats.org/officeDocument/2006/relationships/printerSettings" Target="../printerSettings/printerSettings211.bin"/><Relationship Id="rId4" Type="http://schemas.openxmlformats.org/officeDocument/2006/relationships/printerSettings" Target="../printerSettings/printerSettings210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5.bin"/><Relationship Id="rId7" Type="http://schemas.openxmlformats.org/officeDocument/2006/relationships/drawing" Target="../drawings/drawing34.xml"/><Relationship Id="rId2" Type="http://schemas.openxmlformats.org/officeDocument/2006/relationships/printerSettings" Target="../printerSettings/printerSettings214.bin"/><Relationship Id="rId1" Type="http://schemas.openxmlformats.org/officeDocument/2006/relationships/printerSettings" Target="../printerSettings/printerSettings213.bin"/><Relationship Id="rId6" Type="http://schemas.openxmlformats.org/officeDocument/2006/relationships/printerSettings" Target="../printerSettings/printerSettings218.bin"/><Relationship Id="rId5" Type="http://schemas.openxmlformats.org/officeDocument/2006/relationships/printerSettings" Target="../printerSettings/printerSettings217.bin"/><Relationship Id="rId4" Type="http://schemas.openxmlformats.org/officeDocument/2006/relationships/printerSettings" Target="../printerSettings/printerSettings216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1.bin"/><Relationship Id="rId7" Type="http://schemas.openxmlformats.org/officeDocument/2006/relationships/drawing" Target="../drawings/drawing35.xml"/><Relationship Id="rId2" Type="http://schemas.openxmlformats.org/officeDocument/2006/relationships/printerSettings" Target="../printerSettings/printerSettings220.bin"/><Relationship Id="rId1" Type="http://schemas.openxmlformats.org/officeDocument/2006/relationships/printerSettings" Target="../printerSettings/printerSettings219.bin"/><Relationship Id="rId6" Type="http://schemas.openxmlformats.org/officeDocument/2006/relationships/printerSettings" Target="../printerSettings/printerSettings224.bin"/><Relationship Id="rId5" Type="http://schemas.openxmlformats.org/officeDocument/2006/relationships/printerSettings" Target="../printerSettings/printerSettings223.bin"/><Relationship Id="rId4" Type="http://schemas.openxmlformats.org/officeDocument/2006/relationships/printerSettings" Target="../printerSettings/printerSettings222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7.bin"/><Relationship Id="rId7" Type="http://schemas.openxmlformats.org/officeDocument/2006/relationships/drawing" Target="../drawings/drawing36.xml"/><Relationship Id="rId2" Type="http://schemas.openxmlformats.org/officeDocument/2006/relationships/printerSettings" Target="../printerSettings/printerSettings226.bin"/><Relationship Id="rId1" Type="http://schemas.openxmlformats.org/officeDocument/2006/relationships/printerSettings" Target="../printerSettings/printerSettings225.bin"/><Relationship Id="rId6" Type="http://schemas.openxmlformats.org/officeDocument/2006/relationships/printerSettings" Target="../printerSettings/printerSettings230.bin"/><Relationship Id="rId5" Type="http://schemas.openxmlformats.org/officeDocument/2006/relationships/printerSettings" Target="../printerSettings/printerSettings229.bin"/><Relationship Id="rId4" Type="http://schemas.openxmlformats.org/officeDocument/2006/relationships/printerSettings" Target="../printerSettings/printerSettings228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3.bin"/><Relationship Id="rId7" Type="http://schemas.openxmlformats.org/officeDocument/2006/relationships/drawing" Target="../drawings/drawing37.xml"/><Relationship Id="rId2" Type="http://schemas.openxmlformats.org/officeDocument/2006/relationships/printerSettings" Target="../printerSettings/printerSettings232.bin"/><Relationship Id="rId1" Type="http://schemas.openxmlformats.org/officeDocument/2006/relationships/printerSettings" Target="../printerSettings/printerSettings231.bin"/><Relationship Id="rId6" Type="http://schemas.openxmlformats.org/officeDocument/2006/relationships/printerSettings" Target="../printerSettings/printerSettings236.bin"/><Relationship Id="rId5" Type="http://schemas.openxmlformats.org/officeDocument/2006/relationships/printerSettings" Target="../printerSettings/printerSettings235.bin"/><Relationship Id="rId4" Type="http://schemas.openxmlformats.org/officeDocument/2006/relationships/printerSettings" Target="../printerSettings/printerSettings234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9.bin"/><Relationship Id="rId7" Type="http://schemas.openxmlformats.org/officeDocument/2006/relationships/drawing" Target="../drawings/drawing38.xml"/><Relationship Id="rId2" Type="http://schemas.openxmlformats.org/officeDocument/2006/relationships/printerSettings" Target="../printerSettings/printerSettings238.bin"/><Relationship Id="rId1" Type="http://schemas.openxmlformats.org/officeDocument/2006/relationships/printerSettings" Target="../printerSettings/printerSettings237.bin"/><Relationship Id="rId6" Type="http://schemas.openxmlformats.org/officeDocument/2006/relationships/printerSettings" Target="../printerSettings/printerSettings242.bin"/><Relationship Id="rId5" Type="http://schemas.openxmlformats.org/officeDocument/2006/relationships/printerSettings" Target="../printerSettings/printerSettings241.bin"/><Relationship Id="rId4" Type="http://schemas.openxmlformats.org/officeDocument/2006/relationships/printerSettings" Target="../printerSettings/printerSettings240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5.bin"/><Relationship Id="rId7" Type="http://schemas.openxmlformats.org/officeDocument/2006/relationships/drawing" Target="../drawings/drawing39.xml"/><Relationship Id="rId2" Type="http://schemas.openxmlformats.org/officeDocument/2006/relationships/printerSettings" Target="../printerSettings/printerSettings244.bin"/><Relationship Id="rId1" Type="http://schemas.openxmlformats.org/officeDocument/2006/relationships/printerSettings" Target="../printerSettings/printerSettings243.bin"/><Relationship Id="rId6" Type="http://schemas.openxmlformats.org/officeDocument/2006/relationships/printerSettings" Target="../printerSettings/printerSettings248.bin"/><Relationship Id="rId5" Type="http://schemas.openxmlformats.org/officeDocument/2006/relationships/printerSettings" Target="../printerSettings/printerSettings247.bin"/><Relationship Id="rId4" Type="http://schemas.openxmlformats.org/officeDocument/2006/relationships/printerSettings" Target="../printerSettings/printerSettings246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1.bin"/><Relationship Id="rId7" Type="http://schemas.openxmlformats.org/officeDocument/2006/relationships/drawing" Target="../drawings/drawing40.xml"/><Relationship Id="rId2" Type="http://schemas.openxmlformats.org/officeDocument/2006/relationships/printerSettings" Target="../printerSettings/printerSettings250.bin"/><Relationship Id="rId1" Type="http://schemas.openxmlformats.org/officeDocument/2006/relationships/printerSettings" Target="../printerSettings/printerSettings249.bin"/><Relationship Id="rId6" Type="http://schemas.openxmlformats.org/officeDocument/2006/relationships/printerSettings" Target="../printerSettings/printerSettings254.bin"/><Relationship Id="rId5" Type="http://schemas.openxmlformats.org/officeDocument/2006/relationships/printerSettings" Target="../printerSettings/printerSettings253.bin"/><Relationship Id="rId4" Type="http://schemas.openxmlformats.org/officeDocument/2006/relationships/printerSettings" Target="../printerSettings/printerSettings252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7.bin"/><Relationship Id="rId7" Type="http://schemas.openxmlformats.org/officeDocument/2006/relationships/drawing" Target="../drawings/drawing41.xml"/><Relationship Id="rId2" Type="http://schemas.openxmlformats.org/officeDocument/2006/relationships/printerSettings" Target="../printerSettings/printerSettings256.bin"/><Relationship Id="rId1" Type="http://schemas.openxmlformats.org/officeDocument/2006/relationships/printerSettings" Target="../printerSettings/printerSettings255.bin"/><Relationship Id="rId6" Type="http://schemas.openxmlformats.org/officeDocument/2006/relationships/printerSettings" Target="../printerSettings/printerSettings260.bin"/><Relationship Id="rId5" Type="http://schemas.openxmlformats.org/officeDocument/2006/relationships/printerSettings" Target="../printerSettings/printerSettings259.bin"/><Relationship Id="rId4" Type="http://schemas.openxmlformats.org/officeDocument/2006/relationships/printerSettings" Target="../printerSettings/printerSettings258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63.bin"/><Relationship Id="rId7" Type="http://schemas.openxmlformats.org/officeDocument/2006/relationships/drawing" Target="../drawings/drawing42.xml"/><Relationship Id="rId2" Type="http://schemas.openxmlformats.org/officeDocument/2006/relationships/printerSettings" Target="../printerSettings/printerSettings262.bin"/><Relationship Id="rId1" Type="http://schemas.openxmlformats.org/officeDocument/2006/relationships/printerSettings" Target="../printerSettings/printerSettings261.bin"/><Relationship Id="rId6" Type="http://schemas.openxmlformats.org/officeDocument/2006/relationships/printerSettings" Target="../printerSettings/printerSettings266.bin"/><Relationship Id="rId5" Type="http://schemas.openxmlformats.org/officeDocument/2006/relationships/printerSettings" Target="../printerSettings/printerSettings265.bin"/><Relationship Id="rId4" Type="http://schemas.openxmlformats.org/officeDocument/2006/relationships/printerSettings" Target="../printerSettings/printerSettings264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69.bin"/><Relationship Id="rId7" Type="http://schemas.openxmlformats.org/officeDocument/2006/relationships/drawing" Target="../drawings/drawing43.xml"/><Relationship Id="rId2" Type="http://schemas.openxmlformats.org/officeDocument/2006/relationships/printerSettings" Target="../printerSettings/printerSettings268.bin"/><Relationship Id="rId1" Type="http://schemas.openxmlformats.org/officeDocument/2006/relationships/printerSettings" Target="../printerSettings/printerSettings267.bin"/><Relationship Id="rId6" Type="http://schemas.openxmlformats.org/officeDocument/2006/relationships/printerSettings" Target="../printerSettings/printerSettings272.bin"/><Relationship Id="rId5" Type="http://schemas.openxmlformats.org/officeDocument/2006/relationships/printerSettings" Target="../printerSettings/printerSettings271.bin"/><Relationship Id="rId4" Type="http://schemas.openxmlformats.org/officeDocument/2006/relationships/printerSettings" Target="../printerSettings/printerSettings270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5.bin"/><Relationship Id="rId7" Type="http://schemas.openxmlformats.org/officeDocument/2006/relationships/drawing" Target="../drawings/drawing44.xml"/><Relationship Id="rId2" Type="http://schemas.openxmlformats.org/officeDocument/2006/relationships/printerSettings" Target="../printerSettings/printerSettings274.bin"/><Relationship Id="rId1" Type="http://schemas.openxmlformats.org/officeDocument/2006/relationships/printerSettings" Target="../printerSettings/printerSettings273.bin"/><Relationship Id="rId6" Type="http://schemas.openxmlformats.org/officeDocument/2006/relationships/printerSettings" Target="../printerSettings/printerSettings278.bin"/><Relationship Id="rId5" Type="http://schemas.openxmlformats.org/officeDocument/2006/relationships/printerSettings" Target="../printerSettings/printerSettings277.bin"/><Relationship Id="rId4" Type="http://schemas.openxmlformats.org/officeDocument/2006/relationships/printerSettings" Target="../printerSettings/printerSettings276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1.bin"/><Relationship Id="rId7" Type="http://schemas.openxmlformats.org/officeDocument/2006/relationships/drawing" Target="../drawings/drawing45.xml"/><Relationship Id="rId2" Type="http://schemas.openxmlformats.org/officeDocument/2006/relationships/printerSettings" Target="../printerSettings/printerSettings280.bin"/><Relationship Id="rId1" Type="http://schemas.openxmlformats.org/officeDocument/2006/relationships/printerSettings" Target="../printerSettings/printerSettings279.bin"/><Relationship Id="rId6" Type="http://schemas.openxmlformats.org/officeDocument/2006/relationships/printerSettings" Target="../printerSettings/printerSettings284.bin"/><Relationship Id="rId5" Type="http://schemas.openxmlformats.org/officeDocument/2006/relationships/printerSettings" Target="../printerSettings/printerSettings283.bin"/><Relationship Id="rId4" Type="http://schemas.openxmlformats.org/officeDocument/2006/relationships/printerSettings" Target="../printerSettings/printerSettings282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7.bin"/><Relationship Id="rId7" Type="http://schemas.openxmlformats.org/officeDocument/2006/relationships/drawing" Target="../drawings/drawing46.xml"/><Relationship Id="rId2" Type="http://schemas.openxmlformats.org/officeDocument/2006/relationships/printerSettings" Target="../printerSettings/printerSettings286.bin"/><Relationship Id="rId1" Type="http://schemas.openxmlformats.org/officeDocument/2006/relationships/printerSettings" Target="../printerSettings/printerSettings285.bin"/><Relationship Id="rId6" Type="http://schemas.openxmlformats.org/officeDocument/2006/relationships/printerSettings" Target="../printerSettings/printerSettings290.bin"/><Relationship Id="rId5" Type="http://schemas.openxmlformats.org/officeDocument/2006/relationships/printerSettings" Target="../printerSettings/printerSettings289.bin"/><Relationship Id="rId4" Type="http://schemas.openxmlformats.org/officeDocument/2006/relationships/printerSettings" Target="../printerSettings/printerSettings288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93.bin"/><Relationship Id="rId7" Type="http://schemas.openxmlformats.org/officeDocument/2006/relationships/drawing" Target="../drawings/drawing47.xml"/><Relationship Id="rId2" Type="http://schemas.openxmlformats.org/officeDocument/2006/relationships/printerSettings" Target="../printerSettings/printerSettings292.bin"/><Relationship Id="rId1" Type="http://schemas.openxmlformats.org/officeDocument/2006/relationships/printerSettings" Target="../printerSettings/printerSettings291.bin"/><Relationship Id="rId6" Type="http://schemas.openxmlformats.org/officeDocument/2006/relationships/printerSettings" Target="../printerSettings/printerSettings296.bin"/><Relationship Id="rId5" Type="http://schemas.openxmlformats.org/officeDocument/2006/relationships/printerSettings" Target="../printerSettings/printerSettings295.bin"/><Relationship Id="rId4" Type="http://schemas.openxmlformats.org/officeDocument/2006/relationships/printerSettings" Target="../printerSettings/printerSettings294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99.bin"/><Relationship Id="rId7" Type="http://schemas.openxmlformats.org/officeDocument/2006/relationships/drawing" Target="../drawings/drawing48.xml"/><Relationship Id="rId2" Type="http://schemas.openxmlformats.org/officeDocument/2006/relationships/printerSettings" Target="../printerSettings/printerSettings298.bin"/><Relationship Id="rId1" Type="http://schemas.openxmlformats.org/officeDocument/2006/relationships/printerSettings" Target="../printerSettings/printerSettings297.bin"/><Relationship Id="rId6" Type="http://schemas.openxmlformats.org/officeDocument/2006/relationships/printerSettings" Target="../printerSettings/printerSettings302.bin"/><Relationship Id="rId5" Type="http://schemas.openxmlformats.org/officeDocument/2006/relationships/printerSettings" Target="../printerSettings/printerSettings301.bin"/><Relationship Id="rId4" Type="http://schemas.openxmlformats.org/officeDocument/2006/relationships/printerSettings" Target="../printerSettings/printerSettings300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5.bin"/><Relationship Id="rId7" Type="http://schemas.openxmlformats.org/officeDocument/2006/relationships/drawing" Target="../drawings/drawing49.xml"/><Relationship Id="rId2" Type="http://schemas.openxmlformats.org/officeDocument/2006/relationships/printerSettings" Target="../printerSettings/printerSettings304.bin"/><Relationship Id="rId1" Type="http://schemas.openxmlformats.org/officeDocument/2006/relationships/printerSettings" Target="../printerSettings/printerSettings303.bin"/><Relationship Id="rId6" Type="http://schemas.openxmlformats.org/officeDocument/2006/relationships/printerSettings" Target="../printerSettings/printerSettings308.bin"/><Relationship Id="rId5" Type="http://schemas.openxmlformats.org/officeDocument/2006/relationships/printerSettings" Target="../printerSettings/printerSettings307.bin"/><Relationship Id="rId4" Type="http://schemas.openxmlformats.org/officeDocument/2006/relationships/printerSettings" Target="../printerSettings/printerSettings306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11.bin"/><Relationship Id="rId7" Type="http://schemas.openxmlformats.org/officeDocument/2006/relationships/drawing" Target="../drawings/drawing50.xml"/><Relationship Id="rId2" Type="http://schemas.openxmlformats.org/officeDocument/2006/relationships/printerSettings" Target="../printerSettings/printerSettings310.bin"/><Relationship Id="rId1" Type="http://schemas.openxmlformats.org/officeDocument/2006/relationships/printerSettings" Target="../printerSettings/printerSettings309.bin"/><Relationship Id="rId6" Type="http://schemas.openxmlformats.org/officeDocument/2006/relationships/printerSettings" Target="../printerSettings/printerSettings314.bin"/><Relationship Id="rId5" Type="http://schemas.openxmlformats.org/officeDocument/2006/relationships/printerSettings" Target="../printerSettings/printerSettings313.bin"/><Relationship Id="rId4" Type="http://schemas.openxmlformats.org/officeDocument/2006/relationships/printerSettings" Target="../printerSettings/printerSettings3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E6287-49FB-4B17-A917-3B7D1C631907}">
  <sheetPr codeName="Sheet1"/>
  <dimension ref="A1:Q63"/>
  <sheetViews>
    <sheetView tabSelected="1" zoomScaleNormal="100" workbookViewId="0">
      <selection activeCell="F6" sqref="F6"/>
    </sheetView>
  </sheetViews>
  <sheetFormatPr defaultRowHeight="12.75" x14ac:dyDescent="0.2"/>
  <cols>
    <col min="1" max="1" width="12.140625" customWidth="1"/>
    <col min="2" max="2" width="16.28515625" customWidth="1"/>
    <col min="3" max="3" width="9.85546875" customWidth="1"/>
    <col min="4" max="4" width="9.28515625" customWidth="1"/>
    <col min="5" max="5" width="20.42578125" customWidth="1"/>
    <col min="6" max="6" width="12" customWidth="1"/>
    <col min="7" max="7" width="8.42578125" customWidth="1"/>
    <col min="8" max="8" width="7" customWidth="1"/>
    <col min="9" max="9" width="14.28515625" customWidth="1"/>
    <col min="10" max="10" width="5.28515625" customWidth="1"/>
    <col min="11" max="11" width="5.28515625" style="32" customWidth="1"/>
    <col min="12" max="15" width="9.140625" style="29"/>
  </cols>
  <sheetData>
    <row r="1" spans="1:17" ht="18" customHeight="1" x14ac:dyDescent="0.2">
      <c r="A1" s="142"/>
      <c r="B1" s="143"/>
      <c r="C1" s="144"/>
      <c r="D1" s="156" t="s">
        <v>2</v>
      </c>
      <c r="E1" s="157"/>
      <c r="F1" s="157"/>
      <c r="G1" s="158"/>
      <c r="H1" s="152" t="s">
        <v>9</v>
      </c>
      <c r="I1" s="153"/>
    </row>
    <row r="2" spans="1:17" ht="18" customHeight="1" thickBot="1" x14ac:dyDescent="0.3">
      <c r="A2" s="145"/>
      <c r="B2" s="146"/>
      <c r="C2" s="147"/>
      <c r="D2" s="159"/>
      <c r="E2" s="160"/>
      <c r="F2" s="160"/>
      <c r="G2" s="161"/>
      <c r="H2" s="154">
        <f>I48</f>
        <v>0</v>
      </c>
      <c r="I2" s="155"/>
      <c r="K2" s="32" t="s">
        <v>29</v>
      </c>
      <c r="L2" s="29" t="s">
        <v>25</v>
      </c>
      <c r="M2" s="29" t="s">
        <v>26</v>
      </c>
      <c r="N2" s="29" t="s">
        <v>27</v>
      </c>
      <c r="O2" s="29" t="s">
        <v>28</v>
      </c>
    </row>
    <row r="3" spans="1:17" ht="16.5" customHeight="1" thickBot="1" x14ac:dyDescent="0.25">
      <c r="A3" s="38" t="s">
        <v>3</v>
      </c>
      <c r="B3" s="169" t="s">
        <v>4</v>
      </c>
      <c r="C3" s="169"/>
      <c r="D3" s="169"/>
      <c r="E3" s="170"/>
      <c r="F3" s="40" t="s">
        <v>41</v>
      </c>
      <c r="G3" s="167" t="s">
        <v>0</v>
      </c>
      <c r="H3" s="168"/>
      <c r="I3" s="39" t="s">
        <v>17</v>
      </c>
    </row>
    <row r="4" spans="1:17" ht="21.95" customHeight="1" thickBot="1" x14ac:dyDescent="0.3">
      <c r="A4" s="58"/>
      <c r="B4" s="162"/>
      <c r="C4" s="163"/>
      <c r="D4" s="163"/>
      <c r="E4" s="164"/>
      <c r="F4" s="37"/>
      <c r="G4" s="150"/>
      <c r="H4" s="151"/>
      <c r="I4" s="41"/>
      <c r="K4" s="31"/>
      <c r="L4" s="31"/>
      <c r="M4" s="30"/>
      <c r="N4" s="30"/>
      <c r="O4" s="30">
        <f>I4+I5-M4-N4</f>
        <v>0</v>
      </c>
      <c r="Q4" s="34">
        <v>0</v>
      </c>
    </row>
    <row r="5" spans="1:17" ht="21.95" customHeight="1" thickBot="1" x14ac:dyDescent="0.3">
      <c r="A5" s="59"/>
      <c r="B5" s="42" t="s">
        <v>30</v>
      </c>
      <c r="C5" s="171">
        <f>I4+I5</f>
        <v>0</v>
      </c>
      <c r="D5" s="171"/>
      <c r="E5" s="172"/>
      <c r="F5" s="165" t="s">
        <v>34</v>
      </c>
      <c r="G5" s="165"/>
      <c r="H5" s="166"/>
      <c r="I5" s="43"/>
      <c r="L5" s="32"/>
    </row>
    <row r="6" spans="1:17" ht="21.95" customHeight="1" thickBot="1" x14ac:dyDescent="0.3">
      <c r="A6" s="58"/>
      <c r="B6" s="162"/>
      <c r="C6" s="163"/>
      <c r="D6" s="163"/>
      <c r="E6" s="164"/>
      <c r="F6" s="37"/>
      <c r="G6" s="150"/>
      <c r="H6" s="151"/>
      <c r="I6" s="41"/>
      <c r="K6" s="31"/>
      <c r="L6" s="31"/>
      <c r="M6" s="30"/>
      <c r="N6" s="30"/>
      <c r="O6" s="30">
        <f>I6+I7-M6-N6</f>
        <v>0</v>
      </c>
    </row>
    <row r="7" spans="1:17" ht="21.95" customHeight="1" thickBot="1" x14ac:dyDescent="0.3">
      <c r="A7" s="59"/>
      <c r="B7" s="42" t="s">
        <v>31</v>
      </c>
      <c r="C7" s="148">
        <f>I6+I7</f>
        <v>0</v>
      </c>
      <c r="D7" s="148"/>
      <c r="E7" s="149"/>
      <c r="F7" s="165" t="s">
        <v>34</v>
      </c>
      <c r="G7" s="165"/>
      <c r="H7" s="166"/>
      <c r="I7" s="43"/>
      <c r="L7" s="32"/>
    </row>
    <row r="8" spans="1:17" ht="21.95" customHeight="1" thickBot="1" x14ac:dyDescent="0.3">
      <c r="A8" s="60"/>
      <c r="B8" s="163"/>
      <c r="C8" s="163"/>
      <c r="D8" s="163"/>
      <c r="E8" s="164"/>
      <c r="F8" s="37"/>
      <c r="G8" s="150"/>
      <c r="H8" s="151"/>
      <c r="I8" s="44"/>
      <c r="K8" s="31"/>
      <c r="L8" s="31"/>
      <c r="M8" s="30"/>
      <c r="N8" s="30"/>
      <c r="O8" s="30">
        <f>I8+I9-M8-N8</f>
        <v>0</v>
      </c>
    </row>
    <row r="9" spans="1:17" ht="21.95" customHeight="1" thickBot="1" x14ac:dyDescent="0.3">
      <c r="A9" s="61"/>
      <c r="B9" s="42" t="s">
        <v>32</v>
      </c>
      <c r="C9" s="148">
        <f>I8+I9</f>
        <v>0</v>
      </c>
      <c r="D9" s="148"/>
      <c r="E9" s="149"/>
      <c r="F9" s="165" t="s">
        <v>34</v>
      </c>
      <c r="G9" s="165"/>
      <c r="H9" s="166"/>
      <c r="I9" s="43"/>
      <c r="L9" s="32"/>
    </row>
    <row r="10" spans="1:17" ht="16.5" customHeight="1" x14ac:dyDescent="0.25">
      <c r="A10" s="62"/>
      <c r="B10" s="173"/>
      <c r="C10" s="174"/>
      <c r="D10" s="174"/>
      <c r="E10" s="175"/>
      <c r="F10" s="45"/>
      <c r="G10" s="90"/>
      <c r="H10" s="92"/>
      <c r="I10" s="46"/>
      <c r="K10" s="31"/>
      <c r="L10" s="31"/>
      <c r="M10" s="30"/>
      <c r="N10" s="30"/>
      <c r="O10" s="30">
        <f>I10-M10-N10</f>
        <v>0</v>
      </c>
    </row>
    <row r="11" spans="1:17" ht="16.5" customHeight="1" x14ac:dyDescent="0.25">
      <c r="A11" s="63"/>
      <c r="B11" s="137"/>
      <c r="C11" s="138"/>
      <c r="D11" s="138"/>
      <c r="E11" s="139"/>
      <c r="F11" s="47"/>
      <c r="G11" s="135"/>
      <c r="H11" s="136"/>
      <c r="I11" s="48"/>
      <c r="K11" s="31"/>
      <c r="L11" s="31"/>
      <c r="M11" s="30"/>
      <c r="N11" s="30"/>
      <c r="O11" s="30">
        <f t="shared" ref="O11:O33" si="0">I11-M11-N11</f>
        <v>0</v>
      </c>
    </row>
    <row r="12" spans="1:17" ht="16.5" customHeight="1" x14ac:dyDescent="0.25">
      <c r="A12" s="63"/>
      <c r="B12" s="137"/>
      <c r="C12" s="138"/>
      <c r="D12" s="138"/>
      <c r="E12" s="139"/>
      <c r="F12" s="47"/>
      <c r="G12" s="135"/>
      <c r="H12" s="136"/>
      <c r="I12" s="48"/>
      <c r="K12" s="31"/>
      <c r="L12" s="31"/>
      <c r="M12" s="30"/>
      <c r="N12" s="30"/>
      <c r="O12" s="30">
        <f t="shared" si="0"/>
        <v>0</v>
      </c>
    </row>
    <row r="13" spans="1:17" ht="16.5" customHeight="1" x14ac:dyDescent="0.25">
      <c r="A13" s="64"/>
      <c r="B13" s="137"/>
      <c r="C13" s="138"/>
      <c r="D13" s="138"/>
      <c r="E13" s="139"/>
      <c r="F13" s="47"/>
      <c r="G13" s="135"/>
      <c r="H13" s="136"/>
      <c r="I13" s="48"/>
      <c r="K13" s="31"/>
      <c r="L13" s="31"/>
      <c r="M13" s="30"/>
      <c r="N13" s="30"/>
      <c r="O13" s="30">
        <f t="shared" si="0"/>
        <v>0</v>
      </c>
    </row>
    <row r="14" spans="1:17" ht="16.5" customHeight="1" x14ac:dyDescent="0.25">
      <c r="A14" s="63"/>
      <c r="B14" s="137"/>
      <c r="C14" s="138"/>
      <c r="D14" s="138"/>
      <c r="E14" s="139"/>
      <c r="F14" s="47"/>
      <c r="G14" s="135"/>
      <c r="H14" s="136"/>
      <c r="I14" s="48"/>
      <c r="K14" s="31"/>
      <c r="L14" s="31"/>
      <c r="M14" s="30"/>
      <c r="N14" s="30"/>
      <c r="O14" s="30">
        <f t="shared" si="0"/>
        <v>0</v>
      </c>
    </row>
    <row r="15" spans="1:17" ht="16.5" customHeight="1" x14ac:dyDescent="0.25">
      <c r="A15" s="63"/>
      <c r="B15" s="137"/>
      <c r="C15" s="138"/>
      <c r="D15" s="138"/>
      <c r="E15" s="139"/>
      <c r="F15" s="47"/>
      <c r="G15" s="135"/>
      <c r="H15" s="136"/>
      <c r="I15" s="48"/>
      <c r="K15" s="31"/>
      <c r="L15" s="31"/>
      <c r="M15" s="30"/>
      <c r="N15" s="30"/>
      <c r="O15" s="30">
        <f t="shared" si="0"/>
        <v>0</v>
      </c>
    </row>
    <row r="16" spans="1:17" ht="16.5" customHeight="1" x14ac:dyDescent="0.25">
      <c r="A16" s="64"/>
      <c r="B16" s="137"/>
      <c r="C16" s="138"/>
      <c r="D16" s="138"/>
      <c r="E16" s="139"/>
      <c r="F16" s="47"/>
      <c r="G16" s="135"/>
      <c r="H16" s="136"/>
      <c r="I16" s="48"/>
      <c r="K16" s="31"/>
      <c r="L16" s="31"/>
      <c r="M16" s="30"/>
      <c r="N16" s="30"/>
      <c r="O16" s="30">
        <f t="shared" si="0"/>
        <v>0</v>
      </c>
    </row>
    <row r="17" spans="1:15" ht="16.5" customHeight="1" x14ac:dyDescent="0.25">
      <c r="A17" s="63"/>
      <c r="B17" s="137"/>
      <c r="C17" s="138"/>
      <c r="D17" s="138"/>
      <c r="E17" s="139"/>
      <c r="F17" s="47"/>
      <c r="G17" s="135"/>
      <c r="H17" s="136"/>
      <c r="I17" s="48"/>
      <c r="K17" s="31"/>
      <c r="L17" s="31"/>
      <c r="M17" s="30"/>
      <c r="N17" s="30"/>
      <c r="O17" s="30">
        <f t="shared" si="0"/>
        <v>0</v>
      </c>
    </row>
    <row r="18" spans="1:15" ht="16.5" customHeight="1" x14ac:dyDescent="0.25">
      <c r="A18" s="63"/>
      <c r="B18" s="137"/>
      <c r="C18" s="138"/>
      <c r="D18" s="138"/>
      <c r="E18" s="139"/>
      <c r="F18" s="47"/>
      <c r="G18" s="135"/>
      <c r="H18" s="136"/>
      <c r="I18" s="48"/>
      <c r="K18" s="31"/>
      <c r="L18" s="31"/>
      <c r="M18" s="30"/>
      <c r="N18" s="30"/>
      <c r="O18" s="30">
        <f t="shared" si="0"/>
        <v>0</v>
      </c>
    </row>
    <row r="19" spans="1:15" ht="16.5" customHeight="1" x14ac:dyDescent="0.25">
      <c r="A19" s="64"/>
      <c r="B19" s="137"/>
      <c r="C19" s="138"/>
      <c r="D19" s="138"/>
      <c r="E19" s="139"/>
      <c r="F19" s="47"/>
      <c r="G19" s="135"/>
      <c r="H19" s="136"/>
      <c r="I19" s="48"/>
      <c r="K19" s="31"/>
      <c r="L19" s="31"/>
      <c r="M19" s="30"/>
      <c r="N19" s="30"/>
      <c r="O19" s="30">
        <f t="shared" si="0"/>
        <v>0</v>
      </c>
    </row>
    <row r="20" spans="1:15" ht="16.5" customHeight="1" x14ac:dyDescent="0.25">
      <c r="A20" s="63"/>
      <c r="B20" s="137"/>
      <c r="C20" s="138"/>
      <c r="D20" s="138"/>
      <c r="E20" s="139"/>
      <c r="F20" s="47"/>
      <c r="G20" s="135"/>
      <c r="H20" s="136"/>
      <c r="I20" s="48"/>
      <c r="K20" s="31"/>
      <c r="L20" s="31"/>
      <c r="M20" s="30"/>
      <c r="N20" s="30"/>
      <c r="O20" s="30">
        <f t="shared" si="0"/>
        <v>0</v>
      </c>
    </row>
    <row r="21" spans="1:15" ht="16.5" customHeight="1" x14ac:dyDescent="0.25">
      <c r="A21" s="63"/>
      <c r="B21" s="137"/>
      <c r="C21" s="138"/>
      <c r="D21" s="138"/>
      <c r="E21" s="139"/>
      <c r="F21" s="47"/>
      <c r="G21" s="135"/>
      <c r="H21" s="136"/>
      <c r="I21" s="48"/>
      <c r="K21" s="31"/>
      <c r="L21" s="31"/>
      <c r="M21" s="30"/>
      <c r="N21" s="30"/>
      <c r="O21" s="30">
        <f t="shared" si="0"/>
        <v>0</v>
      </c>
    </row>
    <row r="22" spans="1:15" ht="16.5" customHeight="1" x14ac:dyDescent="0.25">
      <c r="A22" s="64"/>
      <c r="B22" s="137"/>
      <c r="C22" s="138"/>
      <c r="D22" s="138"/>
      <c r="E22" s="139"/>
      <c r="F22" s="47"/>
      <c r="G22" s="135"/>
      <c r="H22" s="136"/>
      <c r="I22" s="48"/>
      <c r="K22" s="31"/>
      <c r="L22" s="31"/>
      <c r="M22" s="30"/>
      <c r="N22" s="30"/>
      <c r="O22" s="30">
        <f t="shared" si="0"/>
        <v>0</v>
      </c>
    </row>
    <row r="23" spans="1:15" ht="16.5" customHeight="1" x14ac:dyDescent="0.25">
      <c r="A23" s="63"/>
      <c r="B23" s="137"/>
      <c r="C23" s="138"/>
      <c r="D23" s="138"/>
      <c r="E23" s="139"/>
      <c r="F23" s="47"/>
      <c r="G23" s="135"/>
      <c r="H23" s="136"/>
      <c r="I23" s="48"/>
      <c r="K23" s="31"/>
      <c r="L23" s="31"/>
      <c r="M23" s="30"/>
      <c r="N23" s="30"/>
      <c r="O23" s="30">
        <f t="shared" si="0"/>
        <v>0</v>
      </c>
    </row>
    <row r="24" spans="1:15" ht="16.5" customHeight="1" x14ac:dyDescent="0.25">
      <c r="A24" s="63"/>
      <c r="B24" s="137"/>
      <c r="C24" s="138"/>
      <c r="D24" s="138"/>
      <c r="E24" s="139"/>
      <c r="F24" s="47"/>
      <c r="G24" s="135"/>
      <c r="H24" s="136"/>
      <c r="I24" s="48"/>
      <c r="K24" s="31"/>
      <c r="L24" s="31"/>
      <c r="M24" s="30"/>
      <c r="N24" s="30"/>
      <c r="O24" s="30">
        <f t="shared" si="0"/>
        <v>0</v>
      </c>
    </row>
    <row r="25" spans="1:15" ht="16.5" customHeight="1" x14ac:dyDescent="0.25">
      <c r="A25" s="63"/>
      <c r="B25" s="137"/>
      <c r="C25" s="138"/>
      <c r="D25" s="138"/>
      <c r="E25" s="139"/>
      <c r="F25" s="47"/>
      <c r="G25" s="135"/>
      <c r="H25" s="136"/>
      <c r="I25" s="48"/>
      <c r="K25" s="31"/>
      <c r="L25" s="31"/>
      <c r="M25" s="30"/>
      <c r="N25" s="30"/>
      <c r="O25" s="30">
        <f t="shared" si="0"/>
        <v>0</v>
      </c>
    </row>
    <row r="26" spans="1:15" ht="16.5" customHeight="1" x14ac:dyDescent="0.25">
      <c r="A26" s="63"/>
      <c r="B26" s="137"/>
      <c r="C26" s="138"/>
      <c r="D26" s="138"/>
      <c r="E26" s="139"/>
      <c r="F26" s="47"/>
      <c r="G26" s="135"/>
      <c r="H26" s="136"/>
      <c r="I26" s="48"/>
      <c r="K26" s="31"/>
      <c r="L26" s="31"/>
      <c r="M26" s="30"/>
      <c r="N26" s="30"/>
      <c r="O26" s="30">
        <f t="shared" si="0"/>
        <v>0</v>
      </c>
    </row>
    <row r="27" spans="1:15" ht="16.5" customHeight="1" x14ac:dyDescent="0.25">
      <c r="A27" s="63"/>
      <c r="B27" s="137"/>
      <c r="C27" s="138"/>
      <c r="D27" s="138"/>
      <c r="E27" s="139"/>
      <c r="F27" s="47"/>
      <c r="G27" s="135"/>
      <c r="H27" s="136"/>
      <c r="I27" s="48"/>
      <c r="K27" s="31"/>
      <c r="L27" s="31"/>
      <c r="M27" s="30"/>
      <c r="N27" s="30"/>
      <c r="O27" s="30">
        <f t="shared" si="0"/>
        <v>0</v>
      </c>
    </row>
    <row r="28" spans="1:15" ht="16.5" customHeight="1" x14ac:dyDescent="0.25">
      <c r="A28" s="63"/>
      <c r="B28" s="137"/>
      <c r="C28" s="138"/>
      <c r="D28" s="138"/>
      <c r="E28" s="139"/>
      <c r="F28" s="47"/>
      <c r="G28" s="135"/>
      <c r="H28" s="136"/>
      <c r="I28" s="48"/>
      <c r="K28" s="31"/>
      <c r="L28" s="31"/>
      <c r="M28" s="30"/>
      <c r="N28" s="30"/>
      <c r="O28" s="30">
        <f t="shared" si="0"/>
        <v>0</v>
      </c>
    </row>
    <row r="29" spans="1:15" ht="16.5" customHeight="1" x14ac:dyDescent="0.25">
      <c r="A29" s="63"/>
      <c r="B29" s="137"/>
      <c r="C29" s="138"/>
      <c r="D29" s="138"/>
      <c r="E29" s="139"/>
      <c r="F29" s="47"/>
      <c r="G29" s="135"/>
      <c r="H29" s="136"/>
      <c r="I29" s="48"/>
      <c r="K29" s="31"/>
      <c r="L29" s="31"/>
      <c r="M29" s="30"/>
      <c r="N29" s="30"/>
      <c r="O29" s="30">
        <f t="shared" si="0"/>
        <v>0</v>
      </c>
    </row>
    <row r="30" spans="1:15" ht="16.5" customHeight="1" x14ac:dyDescent="0.25">
      <c r="A30" s="63"/>
      <c r="B30" s="137"/>
      <c r="C30" s="138"/>
      <c r="D30" s="138"/>
      <c r="E30" s="139"/>
      <c r="F30" s="47"/>
      <c r="G30" s="135"/>
      <c r="H30" s="136"/>
      <c r="I30" s="48"/>
      <c r="K30" s="31"/>
      <c r="L30" s="31"/>
      <c r="M30" s="30"/>
      <c r="N30" s="30"/>
      <c r="O30" s="30">
        <f t="shared" si="0"/>
        <v>0</v>
      </c>
    </row>
    <row r="31" spans="1:15" ht="16.5" customHeight="1" x14ac:dyDescent="0.25">
      <c r="A31" s="63"/>
      <c r="B31" s="137"/>
      <c r="C31" s="138"/>
      <c r="D31" s="138"/>
      <c r="E31" s="139"/>
      <c r="F31" s="47"/>
      <c r="G31" s="135"/>
      <c r="H31" s="136"/>
      <c r="I31" s="48"/>
      <c r="K31" s="31"/>
      <c r="L31" s="31"/>
      <c r="M31" s="30"/>
      <c r="N31" s="30"/>
      <c r="O31" s="30">
        <f t="shared" si="0"/>
        <v>0</v>
      </c>
    </row>
    <row r="32" spans="1:15" ht="16.5" customHeight="1" x14ac:dyDescent="0.25">
      <c r="A32" s="63"/>
      <c r="B32" s="137"/>
      <c r="C32" s="138"/>
      <c r="D32" s="138"/>
      <c r="E32" s="139"/>
      <c r="F32" s="47"/>
      <c r="G32" s="135"/>
      <c r="H32" s="136"/>
      <c r="I32" s="48"/>
      <c r="K32" s="31"/>
      <c r="L32" s="31"/>
      <c r="M32" s="30"/>
      <c r="N32" s="30"/>
      <c r="O32" s="30">
        <f t="shared" si="0"/>
        <v>0</v>
      </c>
    </row>
    <row r="33" spans="1:15" ht="16.5" customHeight="1" x14ac:dyDescent="0.25">
      <c r="A33" s="63"/>
      <c r="B33" s="137"/>
      <c r="C33" s="138"/>
      <c r="D33" s="138"/>
      <c r="E33" s="139"/>
      <c r="F33" s="47"/>
      <c r="G33" s="135"/>
      <c r="H33" s="136"/>
      <c r="I33" s="48"/>
      <c r="K33" s="31"/>
      <c r="L33" s="31"/>
      <c r="M33" s="30"/>
      <c r="N33" s="30"/>
      <c r="O33" s="30">
        <f t="shared" si="0"/>
        <v>0</v>
      </c>
    </row>
    <row r="34" spans="1:15" ht="16.5" customHeight="1" x14ac:dyDescent="0.25">
      <c r="A34" s="63"/>
      <c r="B34" s="137"/>
      <c r="C34" s="140"/>
      <c r="D34" s="140"/>
      <c r="E34" s="141"/>
      <c r="F34" s="47"/>
      <c r="G34" s="135"/>
      <c r="H34" s="136"/>
      <c r="I34" s="48"/>
      <c r="K34" s="31"/>
      <c r="L34" s="31"/>
      <c r="M34" s="30"/>
      <c r="N34" s="30"/>
      <c r="O34" s="30"/>
    </row>
    <row r="35" spans="1:15" ht="16.5" customHeight="1" thickBot="1" x14ac:dyDescent="0.3">
      <c r="A35" s="49"/>
      <c r="B35" s="50"/>
      <c r="C35" s="50"/>
      <c r="D35" s="50"/>
      <c r="E35" s="50"/>
      <c r="F35" s="51"/>
      <c r="G35" s="76"/>
      <c r="H35" s="76"/>
      <c r="I35" s="55"/>
    </row>
    <row r="36" spans="1:15" ht="17.25" customHeight="1" thickBot="1" x14ac:dyDescent="0.25">
      <c r="A36" s="85" t="s">
        <v>10</v>
      </c>
      <c r="B36" s="86"/>
      <c r="C36" s="86"/>
      <c r="D36" s="86"/>
      <c r="E36" s="86"/>
      <c r="F36" s="86"/>
      <c r="G36" s="87"/>
      <c r="H36" s="88"/>
      <c r="I36" s="89"/>
    </row>
    <row r="37" spans="1:15" ht="18.75" customHeight="1" thickBot="1" x14ac:dyDescent="0.25">
      <c r="A37" s="85" t="s">
        <v>13</v>
      </c>
      <c r="B37" s="86"/>
      <c r="C37" s="86"/>
      <c r="D37" s="86"/>
      <c r="E37" s="86"/>
      <c r="F37" s="86"/>
      <c r="G37" s="87"/>
      <c r="H37" s="88"/>
      <c r="I37" s="89"/>
    </row>
    <row r="38" spans="1:15" ht="16.5" customHeight="1" thickBot="1" x14ac:dyDescent="0.3">
      <c r="A38" s="109" t="s">
        <v>12</v>
      </c>
      <c r="B38" s="110"/>
      <c r="C38" s="125"/>
      <c r="D38" s="126"/>
      <c r="E38" s="126"/>
      <c r="F38" s="126"/>
      <c r="G38" s="126"/>
      <c r="H38" s="110"/>
      <c r="I38" s="44"/>
    </row>
    <row r="39" spans="1:15" ht="16.5" customHeight="1" x14ac:dyDescent="0.25">
      <c r="A39" s="93" t="s">
        <v>7</v>
      </c>
      <c r="B39" s="94"/>
      <c r="C39" s="90"/>
      <c r="D39" s="91"/>
      <c r="E39" s="91"/>
      <c r="F39" s="91"/>
      <c r="G39" s="91"/>
      <c r="H39" s="92"/>
      <c r="I39" s="52"/>
    </row>
    <row r="40" spans="1:15" ht="16.5" customHeight="1" thickBot="1" x14ac:dyDescent="0.3">
      <c r="A40" s="83" t="s">
        <v>39</v>
      </c>
      <c r="B40" s="84"/>
      <c r="C40" s="95"/>
      <c r="D40" s="96"/>
      <c r="E40" s="96"/>
      <c r="F40" s="96"/>
      <c r="G40" s="96"/>
      <c r="H40" s="97"/>
      <c r="I40" s="53"/>
    </row>
    <row r="41" spans="1:15" ht="16.5" customHeight="1" x14ac:dyDescent="0.25">
      <c r="A41" s="93" t="s">
        <v>6</v>
      </c>
      <c r="B41" s="94"/>
      <c r="C41" s="90"/>
      <c r="D41" s="91"/>
      <c r="E41" s="91"/>
      <c r="F41" s="91"/>
      <c r="G41" s="91"/>
      <c r="H41" s="92"/>
      <c r="I41" s="54"/>
    </row>
    <row r="42" spans="1:15" ht="16.5" customHeight="1" thickBot="1" x14ac:dyDescent="0.3">
      <c r="A42" s="83" t="s">
        <v>39</v>
      </c>
      <c r="B42" s="84"/>
      <c r="C42" s="95"/>
      <c r="D42" s="96"/>
      <c r="E42" s="96"/>
      <c r="F42" s="96"/>
      <c r="G42" s="96"/>
      <c r="H42" s="97"/>
      <c r="I42" s="53"/>
    </row>
    <row r="43" spans="1:15" ht="15" customHeight="1" thickBot="1" x14ac:dyDescent="0.25"/>
    <row r="44" spans="1:15" ht="15" customHeight="1" thickBot="1" x14ac:dyDescent="0.3">
      <c r="A44" s="116" t="s">
        <v>20</v>
      </c>
      <c r="B44" s="117"/>
      <c r="C44" s="4">
        <f>SUM(I5,I7,I9)</f>
        <v>0</v>
      </c>
      <c r="D44" s="118" t="s">
        <v>18</v>
      </c>
      <c r="E44" s="119"/>
      <c r="F44" s="8"/>
      <c r="G44" s="14" t="s">
        <v>19</v>
      </c>
      <c r="H44" s="57">
        <v>35</v>
      </c>
      <c r="I44" s="13">
        <f>SUM((F44*H44))</f>
        <v>0</v>
      </c>
    </row>
    <row r="45" spans="1:15" ht="16.5" thickBot="1" x14ac:dyDescent="0.3">
      <c r="A45" s="98" t="s">
        <v>12</v>
      </c>
      <c r="B45" s="99"/>
      <c r="C45" s="5">
        <f>SUM(I38)</f>
        <v>0</v>
      </c>
      <c r="D45" s="3"/>
      <c r="E45" s="103"/>
      <c r="F45" s="104"/>
      <c r="G45" s="104"/>
      <c r="H45" s="105"/>
      <c r="I45" s="12"/>
    </row>
    <row r="46" spans="1:15" ht="15.75" x14ac:dyDescent="0.25">
      <c r="A46" s="98" t="s">
        <v>8</v>
      </c>
      <c r="B46" s="99"/>
      <c r="C46" s="5">
        <f>SUM(I39:I42)</f>
        <v>0</v>
      </c>
      <c r="D46" s="22"/>
      <c r="E46" s="106" t="s">
        <v>15</v>
      </c>
      <c r="F46" s="107"/>
      <c r="G46" s="107"/>
      <c r="H46" s="108"/>
      <c r="I46" s="9">
        <f>SUM(I44:I45)</f>
        <v>0</v>
      </c>
    </row>
    <row r="47" spans="1:15" ht="16.5" thickBot="1" x14ac:dyDescent="0.3">
      <c r="A47" s="98" t="s">
        <v>5</v>
      </c>
      <c r="B47" s="99"/>
      <c r="C47" s="7"/>
      <c r="E47" s="130" t="s">
        <v>16</v>
      </c>
      <c r="F47" s="131"/>
      <c r="G47" s="131"/>
      <c r="H47" s="132"/>
      <c r="I47" s="56">
        <f>SUM(C44:C48)</f>
        <v>0</v>
      </c>
    </row>
    <row r="48" spans="1:15" ht="16.5" thickBot="1" x14ac:dyDescent="0.3">
      <c r="A48" s="120" t="s">
        <v>35</v>
      </c>
      <c r="B48" s="121"/>
      <c r="C48" s="11"/>
      <c r="E48" s="100" t="s">
        <v>14</v>
      </c>
      <c r="F48" s="101"/>
      <c r="G48" s="101"/>
      <c r="H48" s="102"/>
      <c r="I48" s="10">
        <f>SUM(I46:I47)</f>
        <v>0</v>
      </c>
    </row>
    <row r="49" spans="1:9" ht="15.75" x14ac:dyDescent="0.25">
      <c r="A49" s="2"/>
      <c r="B49" s="2"/>
      <c r="C49" s="1"/>
      <c r="E49" s="2"/>
      <c r="F49" s="2"/>
      <c r="G49" s="2"/>
      <c r="H49" s="2"/>
      <c r="I49" s="6"/>
    </row>
    <row r="50" spans="1:9" ht="16.5" thickBot="1" x14ac:dyDescent="0.3">
      <c r="E50" s="2"/>
      <c r="F50" s="2"/>
      <c r="G50" s="2"/>
      <c r="H50" s="2"/>
      <c r="I50" s="6"/>
    </row>
    <row r="51" spans="1:9" ht="16.5" thickBot="1" x14ac:dyDescent="0.3">
      <c r="A51" s="113" t="s">
        <v>1</v>
      </c>
      <c r="B51" s="114"/>
      <c r="C51" s="115"/>
    </row>
    <row r="52" spans="1:9" x14ac:dyDescent="0.2">
      <c r="A52" s="23" t="s">
        <v>21</v>
      </c>
      <c r="B52" s="67"/>
      <c r="C52" s="129"/>
      <c r="D52" s="128"/>
      <c r="E52" s="68"/>
      <c r="F52" s="127"/>
      <c r="G52" s="128"/>
      <c r="H52" s="133"/>
      <c r="I52" s="134"/>
    </row>
    <row r="53" spans="1:9" x14ac:dyDescent="0.2">
      <c r="A53" s="24" t="s">
        <v>11</v>
      </c>
      <c r="B53" s="69"/>
      <c r="C53" s="122"/>
      <c r="D53" s="123"/>
      <c r="E53" s="71"/>
      <c r="F53" s="122"/>
      <c r="G53" s="123"/>
      <c r="H53" s="111"/>
      <c r="I53" s="112"/>
    </row>
    <row r="54" spans="1:9" x14ac:dyDescent="0.2">
      <c r="A54" s="25" t="s">
        <v>22</v>
      </c>
      <c r="B54" s="70"/>
      <c r="C54" s="122"/>
      <c r="D54" s="123"/>
      <c r="E54" s="72"/>
      <c r="F54" s="124"/>
      <c r="G54" s="123"/>
      <c r="H54" s="111"/>
      <c r="I54" s="112"/>
    </row>
    <row r="55" spans="1:9" x14ac:dyDescent="0.2">
      <c r="A55" s="26" t="s">
        <v>23</v>
      </c>
      <c r="B55" s="70"/>
      <c r="C55" s="122"/>
      <c r="D55" s="123"/>
      <c r="E55" s="72"/>
      <c r="F55" s="124"/>
      <c r="G55" s="123"/>
      <c r="H55" s="111"/>
      <c r="I55" s="112"/>
    </row>
    <row r="56" spans="1:9" x14ac:dyDescent="0.2">
      <c r="A56" s="24" t="s">
        <v>11</v>
      </c>
      <c r="B56" s="70"/>
      <c r="C56" s="122"/>
      <c r="D56" s="123"/>
      <c r="E56" s="72"/>
      <c r="F56" s="122"/>
      <c r="G56" s="123"/>
      <c r="H56" s="111"/>
      <c r="I56" s="112"/>
    </row>
    <row r="57" spans="1:9" x14ac:dyDescent="0.2">
      <c r="A57" s="25" t="s">
        <v>22</v>
      </c>
      <c r="B57" s="70"/>
      <c r="C57" s="122"/>
      <c r="D57" s="123"/>
      <c r="E57" s="72"/>
      <c r="F57" s="124"/>
      <c r="G57" s="123"/>
      <c r="H57" s="111"/>
      <c r="I57" s="112"/>
    </row>
    <row r="58" spans="1:9" x14ac:dyDescent="0.2">
      <c r="A58" s="27" t="s">
        <v>24</v>
      </c>
      <c r="B58" s="70"/>
      <c r="C58" s="122"/>
      <c r="D58" s="123"/>
      <c r="E58" s="72"/>
      <c r="F58" s="124"/>
      <c r="G58" s="123"/>
      <c r="H58" s="111"/>
      <c r="I58" s="112"/>
    </row>
    <row r="59" spans="1:9" x14ac:dyDescent="0.2">
      <c r="A59" s="24" t="s">
        <v>11</v>
      </c>
      <c r="B59" s="73"/>
      <c r="C59" s="122"/>
      <c r="D59" s="123"/>
      <c r="E59" s="74"/>
      <c r="F59" s="122"/>
      <c r="G59" s="123"/>
      <c r="H59" s="111"/>
      <c r="I59" s="112"/>
    </row>
    <row r="60" spans="1:9" x14ac:dyDescent="0.2">
      <c r="A60" s="65" t="s">
        <v>22</v>
      </c>
      <c r="B60" s="70"/>
      <c r="C60" s="122"/>
      <c r="D60" s="123"/>
      <c r="E60" s="72"/>
      <c r="F60" s="124"/>
      <c r="G60" s="123"/>
      <c r="H60" s="111"/>
      <c r="I60" s="112"/>
    </row>
    <row r="61" spans="1:9" x14ac:dyDescent="0.2">
      <c r="A61" s="27" t="s">
        <v>40</v>
      </c>
      <c r="B61" s="77"/>
      <c r="C61" s="180"/>
      <c r="D61" s="123"/>
      <c r="E61" s="75"/>
      <c r="F61" s="180"/>
      <c r="G61" s="123"/>
      <c r="H61" s="111"/>
      <c r="I61" s="112"/>
    </row>
    <row r="62" spans="1:9" x14ac:dyDescent="0.2">
      <c r="A62" s="24" t="s">
        <v>11</v>
      </c>
      <c r="B62" s="78"/>
      <c r="C62" s="180"/>
      <c r="D62" s="123"/>
      <c r="E62" s="79"/>
      <c r="F62" s="180"/>
      <c r="G62" s="123"/>
      <c r="H62" s="111"/>
      <c r="I62" s="112"/>
    </row>
    <row r="63" spans="1:9" ht="13.5" thickBot="1" x14ac:dyDescent="0.25">
      <c r="A63" s="80" t="s">
        <v>22</v>
      </c>
      <c r="B63" s="81"/>
      <c r="C63" s="176"/>
      <c r="D63" s="177"/>
      <c r="E63" s="82"/>
      <c r="F63" s="176"/>
      <c r="G63" s="177"/>
      <c r="H63" s="178"/>
      <c r="I63" s="179"/>
    </row>
  </sheetData>
  <customSheetViews>
    <customSheetView guid="{6579D6FA-61B8-4BE0-9E51-0DE789A5B6F9}">
      <selection activeCell="F15" sqref="F15"/>
      <pageMargins left="0.75" right="0.5" top="0.5" bottom="0.5" header="0.5" footer="0.5"/>
      <pageSetup scale="83" orientation="portrait" r:id="rId1"/>
      <headerFooter alignWithMargins="0"/>
    </customSheetView>
    <customSheetView guid="{6CC9502D-B81B-4D47-97A4-B1B3C91D360C}">
      <selection activeCell="L6" sqref="L6"/>
      <pageMargins left="0.75" right="0.5" top="0.5" bottom="0.5" header="0.5" footer="0.5"/>
      <pageSetup scale="83" orientation="portrait" r:id="rId2"/>
      <headerFooter alignWithMargins="0"/>
    </customSheetView>
    <customSheetView guid="{CE2F8619-2855-4509-B3F5-4D97A9FBAB49}" showPageBreaks="1" showRuler="0">
      <selection activeCell="A2" sqref="A2:C2"/>
      <pageMargins left="0.75" right="0.5" top="0.5" bottom="0.5" header="0.5" footer="0.5"/>
      <pageSetup scale="83" orientation="portrait" r:id="rId3"/>
      <headerFooter alignWithMargins="0"/>
    </customSheetView>
    <customSheetView guid="{914B9726-6F75-4D74-BF0E-B8F90E9EB75F}" showRuler="0">
      <selection activeCell="B5" sqref="B5"/>
      <pageMargins left="0.75" right="0.5" top="0.5" bottom="0.5" header="0.5" footer="0.5"/>
      <pageSetup scale="83" orientation="portrait" r:id="rId4"/>
      <headerFooter alignWithMargins="0"/>
    </customSheetView>
    <customSheetView guid="{A628522E-1AA5-4914-ACA1-4CD60C5DA1D6}" showPageBreaks="1" printArea="1" topLeftCell="A7">
      <selection activeCell="B13" sqref="B13:E13"/>
      <pageMargins left="0.75" right="0.5" top="0.5" bottom="0.5" header="0.5" footer="0.5"/>
      <pageSetup paperSize="203" scale="83" orientation="portrait" r:id="rId5"/>
      <headerFooter alignWithMargins="0"/>
    </customSheetView>
    <customSheetView guid="{176EB7C3-0D04-446A-A955-E3BB03AB12CB}">
      <selection activeCell="I4" sqref="I4"/>
      <pageMargins left="0.75" right="0.5" top="0.5" bottom="0.5" header="0.5" footer="0.5"/>
      <pageSetup paperSize="203" scale="83" orientation="portrait" r:id="rId6"/>
      <headerFooter alignWithMargins="0"/>
    </customSheetView>
    <customSheetView guid="{FAEA6EC5-D9B6-4437-A803-823522310AC0}">
      <selection activeCell="B19" sqref="B19:E19"/>
      <pageMargins left="0.75" right="0.5" top="0.5" bottom="0.5" header="0.5" footer="0.5"/>
      <pageSetup scale="83" orientation="portrait" r:id="rId7"/>
      <headerFooter alignWithMargins="0"/>
    </customSheetView>
    <customSheetView guid="{F04FE217-A37A-4511-893E-50AA42FE7103}">
      <selection activeCell="L4" sqref="L4"/>
      <pageMargins left="0.75" right="0.5" top="0.5" bottom="0.5" header="0.5" footer="0.5"/>
      <pageSetup scale="83" orientation="portrait" r:id="rId8"/>
      <headerFooter alignWithMargins="0"/>
    </customSheetView>
    <customSheetView guid="{9CAD209D-2C54-4BC8-BBE1-B44670E0CFDB}">
      <selection activeCell="C5" sqref="C5:E5"/>
      <pageMargins left="0.75" right="0.5" top="0.5" bottom="0.5" header="0.5" footer="0.5"/>
      <pageSetup scale="83" orientation="portrait" r:id="rId9"/>
      <headerFooter alignWithMargins="0"/>
    </customSheetView>
  </customSheetViews>
  <mergeCells count="130">
    <mergeCell ref="C63:D63"/>
    <mergeCell ref="F63:G63"/>
    <mergeCell ref="H63:I63"/>
    <mergeCell ref="C61:D61"/>
    <mergeCell ref="F61:G61"/>
    <mergeCell ref="H61:I61"/>
    <mergeCell ref="C62:D62"/>
    <mergeCell ref="F62:G62"/>
    <mergeCell ref="H62:I62"/>
    <mergeCell ref="B28:E28"/>
    <mergeCell ref="B29:E29"/>
    <mergeCell ref="B30:E30"/>
    <mergeCell ref="G31:H31"/>
    <mergeCell ref="G29:H29"/>
    <mergeCell ref="G30:H30"/>
    <mergeCell ref="B6:E6"/>
    <mergeCell ref="B24:E24"/>
    <mergeCell ref="G26:H26"/>
    <mergeCell ref="G24:H24"/>
    <mergeCell ref="G23:H23"/>
    <mergeCell ref="B26:E26"/>
    <mergeCell ref="G19:H19"/>
    <mergeCell ref="G18:H18"/>
    <mergeCell ref="G13:H13"/>
    <mergeCell ref="G17:H17"/>
    <mergeCell ref="G3:H3"/>
    <mergeCell ref="B11:E11"/>
    <mergeCell ref="B12:E12"/>
    <mergeCell ref="B3:E3"/>
    <mergeCell ref="F5:H5"/>
    <mergeCell ref="C5:E5"/>
    <mergeCell ref="C9:E9"/>
    <mergeCell ref="B10:E10"/>
    <mergeCell ref="G8:H8"/>
    <mergeCell ref="F9:H9"/>
    <mergeCell ref="G16:H16"/>
    <mergeCell ref="G15:H15"/>
    <mergeCell ref="G20:H20"/>
    <mergeCell ref="G10:H10"/>
    <mergeCell ref="G11:H11"/>
    <mergeCell ref="G12:H12"/>
    <mergeCell ref="G14:H14"/>
    <mergeCell ref="B18:E18"/>
    <mergeCell ref="B19:E19"/>
    <mergeCell ref="B20:E20"/>
    <mergeCell ref="B8:E8"/>
    <mergeCell ref="B13:E13"/>
    <mergeCell ref="B14:E14"/>
    <mergeCell ref="B15:E15"/>
    <mergeCell ref="B16:E16"/>
    <mergeCell ref="B17:E17"/>
    <mergeCell ref="A1:C1"/>
    <mergeCell ref="A2:C2"/>
    <mergeCell ref="C7:E7"/>
    <mergeCell ref="G4:H4"/>
    <mergeCell ref="H1:I1"/>
    <mergeCell ref="H2:I2"/>
    <mergeCell ref="D1:G2"/>
    <mergeCell ref="B4:E4"/>
    <mergeCell ref="G6:H6"/>
    <mergeCell ref="F7:H7"/>
    <mergeCell ref="B27:E27"/>
    <mergeCell ref="B21:E21"/>
    <mergeCell ref="B22:E22"/>
    <mergeCell ref="G28:H28"/>
    <mergeCell ref="G27:H27"/>
    <mergeCell ref="G22:H22"/>
    <mergeCell ref="G25:H25"/>
    <mergeCell ref="G21:H21"/>
    <mergeCell ref="B23:E23"/>
    <mergeCell ref="B25:E25"/>
    <mergeCell ref="G33:H33"/>
    <mergeCell ref="B31:E31"/>
    <mergeCell ref="B32:E32"/>
    <mergeCell ref="B33:E33"/>
    <mergeCell ref="G32:H32"/>
    <mergeCell ref="B34:E34"/>
    <mergeCell ref="G34:H34"/>
    <mergeCell ref="C53:D53"/>
    <mergeCell ref="C38:H38"/>
    <mergeCell ref="C40:H40"/>
    <mergeCell ref="F52:G52"/>
    <mergeCell ref="C52:D52"/>
    <mergeCell ref="C54:D54"/>
    <mergeCell ref="F54:G54"/>
    <mergeCell ref="E47:H47"/>
    <mergeCell ref="H52:I52"/>
    <mergeCell ref="F53:G53"/>
    <mergeCell ref="H60:I60"/>
    <mergeCell ref="C59:D59"/>
    <mergeCell ref="F59:G59"/>
    <mergeCell ref="H59:I59"/>
    <mergeCell ref="C60:D60"/>
    <mergeCell ref="F60:G60"/>
    <mergeCell ref="C57:D57"/>
    <mergeCell ref="F57:G57"/>
    <mergeCell ref="C58:D58"/>
    <mergeCell ref="H57:I57"/>
    <mergeCell ref="C55:D55"/>
    <mergeCell ref="C56:D56"/>
    <mergeCell ref="F56:G56"/>
    <mergeCell ref="F55:G55"/>
    <mergeCell ref="F58:G58"/>
    <mergeCell ref="H58:I58"/>
    <mergeCell ref="H53:I53"/>
    <mergeCell ref="H56:I56"/>
    <mergeCell ref="H55:I55"/>
    <mergeCell ref="H54:I54"/>
    <mergeCell ref="A51:C51"/>
    <mergeCell ref="A41:B41"/>
    <mergeCell ref="C41:H41"/>
    <mergeCell ref="A44:B44"/>
    <mergeCell ref="D44:E44"/>
    <mergeCell ref="A48:B48"/>
    <mergeCell ref="C42:H42"/>
    <mergeCell ref="H37:I37"/>
    <mergeCell ref="A47:B47"/>
    <mergeCell ref="E48:H48"/>
    <mergeCell ref="E45:H45"/>
    <mergeCell ref="E46:H46"/>
    <mergeCell ref="A46:B46"/>
    <mergeCell ref="A45:B45"/>
    <mergeCell ref="A42:B42"/>
    <mergeCell ref="A38:B38"/>
    <mergeCell ref="A40:B40"/>
    <mergeCell ref="A36:G36"/>
    <mergeCell ref="H36:I36"/>
    <mergeCell ref="A37:G37"/>
    <mergeCell ref="C39:H39"/>
    <mergeCell ref="A39:B39"/>
  </mergeCells>
  <phoneticPr fontId="0" type="noConversion"/>
  <pageMargins left="0.75" right="0.5" top="0.5" bottom="0.5" header="0.5" footer="0.5"/>
  <pageSetup scale="83" orientation="portrait" r:id="rId1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A6588-B3AF-47BD-ADBB-1170507A3E44}">
  <sheetPr codeName="Sheet2"/>
  <dimension ref="A1:K16"/>
  <sheetViews>
    <sheetView workbookViewId="0">
      <selection activeCell="E4" sqref="E4:G4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>
        <f>Results!A4</f>
        <v>0</v>
      </c>
      <c r="C3" s="18"/>
      <c r="D3" s="36"/>
      <c r="E3" s="184">
        <f>Results!B4</f>
        <v>0</v>
      </c>
      <c r="F3" s="184"/>
      <c r="G3" s="184"/>
      <c r="H3" s="183">
        <f>Results!O4</f>
        <v>0</v>
      </c>
      <c r="I3" s="183"/>
      <c r="J3" s="183"/>
      <c r="K3" s="66"/>
    </row>
    <row r="4" spans="1:11" ht="15.75" customHeight="1" x14ac:dyDescent="0.2">
      <c r="A4" s="15"/>
      <c r="B4" s="17">
        <f>E3</f>
        <v>0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str">
        <f>SpellNumber(H3)</f>
        <v>No Dollars and No Cents</v>
      </c>
      <c r="E5" s="181"/>
      <c r="F5" s="181"/>
      <c r="G5" s="181"/>
      <c r="H5" s="181"/>
      <c r="J5" s="15"/>
    </row>
    <row r="6" spans="1:11" x14ac:dyDescent="0.2">
      <c r="A6" s="15"/>
      <c r="B6" s="35">
        <f>Results!I4+Results!I5</f>
        <v>0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>
        <f>Results!Q4-Results!M4</f>
        <v>0</v>
      </c>
      <c r="C8" s="15"/>
      <c r="D8" s="185">
        <f>B3</f>
        <v>0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>
        <f>H3</f>
        <v>0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F7" sqref="F7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F7" sqref="F7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CE2F8619-2855-4509-B3F5-4D97A9FBAB49}" showRuler="0">
      <selection activeCell="B2" sqref="B2"/>
      <pageMargins left="0" right="0.5" top="0.5" bottom="0.25" header="0.5" footer="0.5"/>
      <pageSetup paperSize="204" orientation="portrait" horizontalDpi="120" verticalDpi="72" r:id="rId3"/>
      <headerFooter alignWithMargins="0"/>
    </customSheetView>
    <customSheetView guid="{914B9726-6F75-4D74-BF0E-B8F90E9EB75F}" showRuler="0">
      <selection activeCell="B2" sqref="B2"/>
      <pageMargins left="0" right="0.5" top="0.5" bottom="0.25" header="0.5" footer="0.5"/>
      <pageSetup paperSize="204" orientation="portrait" horizontalDpi="120" verticalDpi="72" r:id="rId4"/>
      <headerFooter alignWithMargins="0"/>
    </customSheetView>
    <customSheetView guid="{A628522E-1AA5-4914-ACA1-4CD60C5DA1D6}" showPageBreaks="1">
      <selection activeCell="D10" sqref="D10"/>
      <pageMargins left="0" right="0.5" top="0.5" bottom="0.25" header="0.5" footer="0.5"/>
      <pageSetup paperSize="204" orientation="portrait" horizontalDpi="120" verticalDpi="72" r:id="rId5"/>
      <headerFooter alignWithMargins="0"/>
    </customSheetView>
    <customSheetView guid="{176EB7C3-0D04-446A-A955-E3BB03AB12CB}">
      <selection activeCell="H5" sqref="D5:H5"/>
      <pageMargins left="0" right="0.5" top="0.5" bottom="0.25" header="0.5" footer="0.5"/>
      <pageSetup paperSize="209" orientation="portrait" horizontalDpi="120" verticalDpi="72" r:id="rId6"/>
      <headerFooter alignWithMargins="0"/>
    </customSheetView>
    <customSheetView guid="{FAEA6EC5-D9B6-4437-A803-823522310AC0}">
      <selection activeCell="F7" sqref="F7"/>
      <pageMargins left="0" right="0.5" top="0.5" bottom="0.25" header="0.5" footer="0.5"/>
      <pageSetup paperSize="209" orientation="portrait" horizontalDpi="120" verticalDpi="72" r:id="rId7"/>
      <headerFooter alignWithMargins="0"/>
    </customSheetView>
    <customSheetView guid="{F04FE217-A37A-4511-893E-50AA42FE7103}">
      <selection activeCell="E4" sqref="E4:G4"/>
      <pageMargins left="0" right="0.5" top="0.5" bottom="0.25" header="0.5" footer="0.5"/>
      <pageSetup paperSize="209" orientation="portrait" horizontalDpi="120" verticalDpi="72" r:id="rId8"/>
      <headerFooter alignWithMargins="0"/>
    </customSheetView>
    <customSheetView guid="{9CAD209D-2C54-4BC8-BBE1-B44670E0CFDB}">
      <selection activeCell="E4" sqref="E4:G4"/>
      <pageMargins left="0" right="0.5" top="0.5" bottom="0.25" header="0.5" footer="0.5"/>
      <pageSetup paperSize="209" orientation="portrait" horizontalDpi="120" verticalDpi="72" r:id="rId9"/>
      <headerFooter alignWithMargins="0"/>
    </customSheetView>
  </customSheetViews>
  <mergeCells count="6">
    <mergeCell ref="D5:H5"/>
    <mergeCell ref="H2:J2"/>
    <mergeCell ref="H3:J3"/>
    <mergeCell ref="E3:G3"/>
    <mergeCell ref="D8:D9"/>
    <mergeCell ref="E8:E9"/>
  </mergeCells>
  <phoneticPr fontId="0" type="noConversion"/>
  <pageMargins left="0" right="0.5" top="0.5" bottom="0.25" header="0.5" footer="0.5"/>
  <pageSetup paperSize="209" orientation="portrait" horizontalDpi="120" verticalDpi="72" r:id="rId10"/>
  <headerFooter alignWithMargins="0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ED0B-A7B5-4C0E-AFC6-B028F9D66D07}">
  <sheetPr codeName="Sheet3"/>
  <dimension ref="A1:K16"/>
  <sheetViews>
    <sheetView workbookViewId="0">
      <selection activeCell="B4" sqref="B4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>
        <f>Results!A6</f>
        <v>0</v>
      </c>
      <c r="C3" s="18"/>
      <c r="D3" s="36"/>
      <c r="E3" s="184">
        <f>Results!B6</f>
        <v>0</v>
      </c>
      <c r="F3" s="184"/>
      <c r="G3" s="184"/>
      <c r="H3" s="183">
        <f>Results!O6</f>
        <v>0</v>
      </c>
      <c r="I3" s="183"/>
      <c r="J3" s="183"/>
      <c r="K3" s="66"/>
    </row>
    <row r="4" spans="1:11" ht="15.75" customHeight="1" x14ac:dyDescent="0.2">
      <c r="A4" s="15"/>
      <c r="B4" s="17">
        <f>E3</f>
        <v>0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str">
        <f>SpellNumber(H3)</f>
        <v>No Dollars and No Cents</v>
      </c>
      <c r="E5" s="181"/>
      <c r="F5" s="181"/>
      <c r="G5" s="181"/>
      <c r="H5" s="181"/>
      <c r="J5" s="15"/>
    </row>
    <row r="6" spans="1:11" x14ac:dyDescent="0.2">
      <c r="A6" s="15"/>
      <c r="B6" s="35">
        <f>Results!I6+Results!I7</f>
        <v>0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>
        <f>Results!Q4-Results!M6</f>
        <v>0</v>
      </c>
      <c r="C8" s="15"/>
      <c r="D8" s="185">
        <f>B3</f>
        <v>0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>
        <f>H3</f>
        <v>0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B4" sqref="B4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B4" sqref="B4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B4" sqref="B4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B4" sqref="B4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B4" sqref="B4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4E0B9-CF64-4DFA-A9FE-0D747EA336AB}">
  <sheetPr codeName="Sheet4"/>
  <dimension ref="A1:K16"/>
  <sheetViews>
    <sheetView workbookViewId="0">
      <selection activeCell="D8" sqref="D8:D9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>
        <f>Results!A8</f>
        <v>0</v>
      </c>
      <c r="C3" s="18"/>
      <c r="D3" s="36"/>
      <c r="E3" s="184">
        <f>Results!B8</f>
        <v>0</v>
      </c>
      <c r="F3" s="184"/>
      <c r="G3" s="184"/>
      <c r="H3" s="183">
        <f>Results!O8</f>
        <v>0</v>
      </c>
      <c r="I3" s="183"/>
      <c r="J3" s="183"/>
      <c r="K3" s="66"/>
    </row>
    <row r="4" spans="1:11" ht="15.75" customHeight="1" x14ac:dyDescent="0.2">
      <c r="A4" s="15"/>
      <c r="B4" s="17">
        <f>E3</f>
        <v>0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str">
        <f>SpellNumber(H3)</f>
        <v>No Dollars and No Cents</v>
      </c>
      <c r="E5" s="181"/>
      <c r="F5" s="181"/>
      <c r="G5" s="181"/>
      <c r="H5" s="181"/>
      <c r="J5" s="15"/>
    </row>
    <row r="6" spans="1:11" x14ac:dyDescent="0.2">
      <c r="A6" s="15"/>
      <c r="B6" s="35">
        <f>Results!I8+Results!I9</f>
        <v>0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>
        <f>Results!Q4-Results!M8</f>
        <v>0</v>
      </c>
      <c r="C8" s="15"/>
      <c r="D8" s="185">
        <f>B3</f>
        <v>0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>
        <f>H3</f>
        <v>0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D8" sqref="D8:D9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D8" sqref="D8:D9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D8" sqref="D8:D9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D8" sqref="D8:D9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D8" sqref="D8:D9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211A-DFEA-408C-A3DE-EF3DAEDE43E6}">
  <sheetPr codeName="Sheet5"/>
  <dimension ref="A1:K16"/>
  <sheetViews>
    <sheetView workbookViewId="0">
      <selection activeCell="E6" sqref="E6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>
        <f>Results!A10</f>
        <v>0</v>
      </c>
      <c r="C3" s="18"/>
      <c r="D3" s="36"/>
      <c r="E3" s="184">
        <f>Results!B10</f>
        <v>0</v>
      </c>
      <c r="F3" s="184"/>
      <c r="G3" s="184"/>
      <c r="H3" s="183">
        <f>Results!O10</f>
        <v>0</v>
      </c>
      <c r="I3" s="183"/>
      <c r="J3" s="183"/>
      <c r="K3" s="66"/>
    </row>
    <row r="4" spans="1:11" ht="15.75" customHeight="1" x14ac:dyDescent="0.2">
      <c r="A4" s="15"/>
      <c r="B4" s="17">
        <f>E3</f>
        <v>0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str">
        <f>SpellNumber(H3)</f>
        <v>No Dollars and No Cents</v>
      </c>
      <c r="E5" s="181"/>
      <c r="F5" s="181"/>
      <c r="G5" s="181"/>
      <c r="H5" s="181"/>
      <c r="J5" s="15"/>
    </row>
    <row r="6" spans="1:11" x14ac:dyDescent="0.2">
      <c r="A6" s="15"/>
      <c r="B6" s="35">
        <f>Results!I10</f>
        <v>0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>
        <f>Results!Q4-Results!M10</f>
        <v>0</v>
      </c>
      <c r="C8" s="15"/>
      <c r="D8" s="185">
        <f>B3</f>
        <v>0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>
        <f>H3</f>
        <v>0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E6" sqref="E6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E6" sqref="E6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E6" sqref="E6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E6" sqref="E6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E6" sqref="E6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5FB49-FE38-40DF-9B0B-C5774287B5D7}">
  <sheetPr codeName="Sheet6"/>
  <dimension ref="A1:K16"/>
  <sheetViews>
    <sheetView workbookViewId="0">
      <selection activeCell="B3" sqref="B3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>
        <f>Results!A11</f>
        <v>0</v>
      </c>
      <c r="C3" s="18"/>
      <c r="D3" s="36"/>
      <c r="E3" s="184">
        <f>Results!B11</f>
        <v>0</v>
      </c>
      <c r="F3" s="184"/>
      <c r="G3" s="184"/>
      <c r="H3" s="183">
        <f>Results!O11</f>
        <v>0</v>
      </c>
      <c r="I3" s="183"/>
      <c r="J3" s="183"/>
      <c r="K3" s="66"/>
    </row>
    <row r="4" spans="1:11" ht="15.75" customHeight="1" x14ac:dyDescent="0.2">
      <c r="A4" s="15"/>
      <c r="B4" s="17">
        <f>E3</f>
        <v>0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str">
        <f>SpellNumber(H3)</f>
        <v>No Dollars and No Cents</v>
      </c>
      <c r="E5" s="181"/>
      <c r="F5" s="181"/>
      <c r="G5" s="181"/>
      <c r="H5" s="181"/>
      <c r="J5" s="15"/>
    </row>
    <row r="6" spans="1:11" x14ac:dyDescent="0.2">
      <c r="A6" s="15"/>
      <c r="B6" s="35">
        <f>Results!I11</f>
        <v>0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>
        <f>Results!Q4-Results!M11</f>
        <v>0</v>
      </c>
      <c r="C8" s="15"/>
      <c r="D8" s="185">
        <f>B3</f>
        <v>0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>
        <f>H3</f>
        <v>0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B3" sqref="B3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B3" sqref="B3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B3" sqref="B3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B3" sqref="B3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B3" sqref="B3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63B4B-2E24-4123-BAD2-475DE549D3B3}">
  <sheetPr codeName="Sheet7"/>
  <dimension ref="A1:K16"/>
  <sheetViews>
    <sheetView workbookViewId="0">
      <selection activeCell="F7" sqref="F7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>
        <f>Results!A12</f>
        <v>0</v>
      </c>
      <c r="C3" s="18"/>
      <c r="D3" s="36"/>
      <c r="E3" s="184">
        <f>Results!B12</f>
        <v>0</v>
      </c>
      <c r="F3" s="184"/>
      <c r="G3" s="184"/>
      <c r="H3" s="183">
        <f>Results!O12</f>
        <v>0</v>
      </c>
      <c r="I3" s="183"/>
      <c r="J3" s="183"/>
      <c r="K3" s="66"/>
    </row>
    <row r="4" spans="1:11" ht="15.75" customHeight="1" x14ac:dyDescent="0.2">
      <c r="A4" s="15"/>
      <c r="B4" s="17">
        <f>E3</f>
        <v>0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str">
        <f>SpellNumber(H3)</f>
        <v>No Dollars and No Cents</v>
      </c>
      <c r="E5" s="181"/>
      <c r="F5" s="181"/>
      <c r="G5" s="181"/>
      <c r="H5" s="181"/>
      <c r="J5" s="15"/>
    </row>
    <row r="6" spans="1:11" x14ac:dyDescent="0.2">
      <c r="A6" s="15"/>
      <c r="B6" s="35">
        <f>Results!I12</f>
        <v>0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>
        <f>Results!Q4-Results!M12</f>
        <v>0</v>
      </c>
      <c r="C8" s="15"/>
      <c r="D8" s="185">
        <f>B3</f>
        <v>0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>
        <f>H3</f>
        <v>0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F7" sqref="F7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F7" sqref="F7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F7" sqref="F7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F7" sqref="F7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F7" sqref="F7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A4F30-7A55-4038-B997-2EA3945693CE}">
  <sheetPr codeName="Sheet8"/>
  <dimension ref="A1:K16"/>
  <sheetViews>
    <sheetView workbookViewId="0">
      <selection activeCell="B3" sqref="B3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>
        <f>Results!A13</f>
        <v>0</v>
      </c>
      <c r="C3" s="18"/>
      <c r="D3" s="36"/>
      <c r="E3" s="184">
        <f>Results!B13</f>
        <v>0</v>
      </c>
      <c r="F3" s="184"/>
      <c r="G3" s="184"/>
      <c r="H3" s="183">
        <f>Results!O13</f>
        <v>0</v>
      </c>
      <c r="I3" s="183"/>
      <c r="J3" s="183"/>
      <c r="K3" s="66"/>
    </row>
    <row r="4" spans="1:11" ht="15.75" customHeight="1" x14ac:dyDescent="0.2">
      <c r="A4" s="15"/>
      <c r="B4" s="17">
        <f>E3</f>
        <v>0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str">
        <f>SpellNumber(H3)</f>
        <v>No Dollars and No Cents</v>
      </c>
      <c r="E5" s="181"/>
      <c r="F5" s="181"/>
      <c r="G5" s="181"/>
      <c r="H5" s="181"/>
      <c r="J5" s="15"/>
    </row>
    <row r="6" spans="1:11" x14ac:dyDescent="0.2">
      <c r="A6" s="15"/>
      <c r="B6" s="35">
        <f>Results!I13</f>
        <v>0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>
        <f>Results!Q4-Results!M13</f>
        <v>0</v>
      </c>
      <c r="C8" s="15"/>
      <c r="D8" s="185">
        <f>B3</f>
        <v>0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>
        <f>H3</f>
        <v>0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B3" sqref="B3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B3" sqref="B3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B3" sqref="B3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B3" sqref="B3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B3" sqref="B3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82D30-F3EA-4F8B-9F4E-2EB4913B478E}">
  <sheetPr codeName="Sheet9"/>
  <dimension ref="A1:K16"/>
  <sheetViews>
    <sheetView workbookViewId="0">
      <selection activeCell="F9" sqref="F9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>
        <f>Results!A14</f>
        <v>0</v>
      </c>
      <c r="C3" s="18"/>
      <c r="D3" s="36"/>
      <c r="E3" s="184">
        <f>Results!B14</f>
        <v>0</v>
      </c>
      <c r="F3" s="184"/>
      <c r="G3" s="184"/>
      <c r="H3" s="183">
        <f>Results!O14</f>
        <v>0</v>
      </c>
      <c r="I3" s="183"/>
      <c r="J3" s="183"/>
      <c r="K3" s="66"/>
    </row>
    <row r="4" spans="1:11" ht="15.75" customHeight="1" x14ac:dyDescent="0.2">
      <c r="A4" s="15"/>
      <c r="B4" s="17">
        <f>E3</f>
        <v>0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str">
        <f>SpellNumber(H3)</f>
        <v>No Dollars and No Cents</v>
      </c>
      <c r="E5" s="181"/>
      <c r="F5" s="181"/>
      <c r="G5" s="181"/>
      <c r="H5" s="181"/>
      <c r="J5" s="15"/>
    </row>
    <row r="6" spans="1:11" x14ac:dyDescent="0.2">
      <c r="A6" s="15"/>
      <c r="B6" s="35">
        <f>Results!I14</f>
        <v>0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>
        <f>Results!Q4-Results!M14</f>
        <v>0</v>
      </c>
      <c r="C8" s="15"/>
      <c r="D8" s="185">
        <f>B3</f>
        <v>0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>
        <f>H3</f>
        <v>0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F9" sqref="F9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F9" sqref="F9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F9" sqref="F9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F9" sqref="F9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F9" sqref="F9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01AA3-DED4-4050-A957-EC643E62B20B}">
  <sheetPr codeName="Sheet10"/>
  <dimension ref="A1:K16"/>
  <sheetViews>
    <sheetView workbookViewId="0">
      <selection activeCell="F9" sqref="F9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>
        <f>Results!A15</f>
        <v>0</v>
      </c>
      <c r="C3" s="18"/>
      <c r="D3" s="36"/>
      <c r="E3" s="184">
        <f>Results!B15</f>
        <v>0</v>
      </c>
      <c r="F3" s="184"/>
      <c r="G3" s="184"/>
      <c r="H3" s="183">
        <f>Results!O15</f>
        <v>0</v>
      </c>
      <c r="I3" s="183"/>
      <c r="J3" s="183"/>
      <c r="K3" s="66"/>
    </row>
    <row r="4" spans="1:11" ht="15.75" customHeight="1" x14ac:dyDescent="0.2">
      <c r="A4" s="15"/>
      <c r="B4" s="17">
        <f>E3</f>
        <v>0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str">
        <f>SpellNumber(H3)</f>
        <v>No Dollars and No Cents</v>
      </c>
      <c r="E5" s="181"/>
      <c r="F5" s="181"/>
      <c r="G5" s="181"/>
      <c r="H5" s="181"/>
      <c r="J5" s="15"/>
    </row>
    <row r="6" spans="1:11" x14ac:dyDescent="0.2">
      <c r="A6" s="15"/>
      <c r="B6" s="35">
        <f>Results!I15</f>
        <v>0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>
        <f>Results!Q4-Results!M15</f>
        <v>0</v>
      </c>
      <c r="C8" s="15"/>
      <c r="D8" s="185">
        <f>B3</f>
        <v>0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>
        <f>H3</f>
        <v>0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F9" sqref="F9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F9" sqref="F9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F9" sqref="F9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F9" sqref="F9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F9" sqref="F9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D483-070F-4E2D-8FDB-83298434440B}">
  <sheetPr codeName="Sheet11"/>
  <dimension ref="A1:K16"/>
  <sheetViews>
    <sheetView workbookViewId="0">
      <selection activeCell="F7" sqref="F7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>
        <f>Results!A16</f>
        <v>0</v>
      </c>
      <c r="C3" s="18"/>
      <c r="D3" s="36"/>
      <c r="E3" s="184">
        <f>Results!B16</f>
        <v>0</v>
      </c>
      <c r="F3" s="184"/>
      <c r="G3" s="184"/>
      <c r="H3" s="183">
        <f>Results!O16</f>
        <v>0</v>
      </c>
      <c r="I3" s="183"/>
      <c r="J3" s="183"/>
      <c r="K3" s="66"/>
    </row>
    <row r="4" spans="1:11" ht="15.75" customHeight="1" x14ac:dyDescent="0.2">
      <c r="A4" s="15"/>
      <c r="B4" s="17">
        <f>E3</f>
        <v>0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str">
        <f>SpellNumber(H3)</f>
        <v>No Dollars and No Cents</v>
      </c>
      <c r="E5" s="181"/>
      <c r="F5" s="181"/>
      <c r="G5" s="181"/>
      <c r="H5" s="181"/>
      <c r="J5" s="15"/>
    </row>
    <row r="6" spans="1:11" x14ac:dyDescent="0.2">
      <c r="A6" s="15"/>
      <c r="B6" s="35">
        <f>Results!I16</f>
        <v>0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>
        <f>Results!Q4-Results!M16</f>
        <v>0</v>
      </c>
      <c r="C8" s="15"/>
      <c r="D8" s="185">
        <f>B3</f>
        <v>0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>
        <f>H3</f>
        <v>0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F7" sqref="F7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F7" sqref="F7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F7" sqref="F7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F7" sqref="F7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F7" sqref="F7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A06F9-B88D-4D7B-A238-BE56348F8B84}">
  <sheetPr codeName="Sheet12"/>
  <dimension ref="A1:K16"/>
  <sheetViews>
    <sheetView workbookViewId="0">
      <selection activeCell="E6" sqref="E6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>
        <f>Results!A17</f>
        <v>0</v>
      </c>
      <c r="C3" s="18"/>
      <c r="D3" s="36"/>
      <c r="E3" s="184">
        <f>Results!B17</f>
        <v>0</v>
      </c>
      <c r="F3" s="184"/>
      <c r="G3" s="184"/>
      <c r="H3" s="183">
        <f>Results!O17</f>
        <v>0</v>
      </c>
      <c r="I3" s="183"/>
      <c r="J3" s="183"/>
      <c r="K3" s="66"/>
    </row>
    <row r="4" spans="1:11" ht="15.75" customHeight="1" x14ac:dyDescent="0.2">
      <c r="A4" s="15"/>
      <c r="B4" s="17">
        <f>E3</f>
        <v>0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str">
        <f>SpellNumber(H3)</f>
        <v>No Dollars and No Cents</v>
      </c>
      <c r="E5" s="181"/>
      <c r="F5" s="181"/>
      <c r="G5" s="181"/>
      <c r="H5" s="181"/>
      <c r="J5" s="15"/>
    </row>
    <row r="6" spans="1:11" x14ac:dyDescent="0.2">
      <c r="A6" s="15"/>
      <c r="B6" s="35">
        <f>Results!I17</f>
        <v>0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>
        <f>Results!Q4-Results!M17</f>
        <v>0</v>
      </c>
      <c r="C8" s="15"/>
      <c r="D8" s="185">
        <f>B3</f>
        <v>0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>
        <f>H3</f>
        <v>0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E6" sqref="E6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E6" sqref="E6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E6" sqref="E6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E6" sqref="E6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E6" sqref="E6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0ACDA-0610-4C70-AFC9-601F2ED01F2D}">
  <sheetPr codeName="Sheet13"/>
  <dimension ref="A1:K16"/>
  <sheetViews>
    <sheetView workbookViewId="0">
      <selection activeCell="B3" sqref="B3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>
        <f>Results!A18</f>
        <v>0</v>
      </c>
      <c r="C3" s="18"/>
      <c r="D3" s="36"/>
      <c r="E3" s="184">
        <f>Results!B18</f>
        <v>0</v>
      </c>
      <c r="F3" s="184"/>
      <c r="G3" s="184"/>
      <c r="H3" s="183">
        <f>Results!O18</f>
        <v>0</v>
      </c>
      <c r="I3" s="183"/>
      <c r="J3" s="183"/>
      <c r="K3" s="66"/>
    </row>
    <row r="4" spans="1:11" ht="15.75" customHeight="1" x14ac:dyDescent="0.2">
      <c r="A4" s="15"/>
      <c r="B4" s="17">
        <f>E3</f>
        <v>0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str">
        <f>SpellNumber(H3)</f>
        <v>No Dollars and No Cents</v>
      </c>
      <c r="E5" s="181"/>
      <c r="F5" s="181"/>
      <c r="G5" s="181"/>
      <c r="H5" s="181"/>
      <c r="J5" s="15"/>
    </row>
    <row r="6" spans="1:11" x14ac:dyDescent="0.2">
      <c r="A6" s="15"/>
      <c r="B6" s="35">
        <f>Results!I18</f>
        <v>0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>
        <f>Results!Q4-Results!M18</f>
        <v>0</v>
      </c>
      <c r="C8" s="15"/>
      <c r="D8" s="185">
        <f>B3</f>
        <v>0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>
        <f>H3</f>
        <v>0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B3" sqref="B3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B3" sqref="B3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B3" sqref="B3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B3" sqref="B3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B3" sqref="B3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13BC-4DC7-41FC-BFD6-3A90D151B659}">
  <sheetPr codeName="Sheet14"/>
  <dimension ref="A1:K16"/>
  <sheetViews>
    <sheetView workbookViewId="0">
      <selection activeCell="E3" sqref="E3:G3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>
        <f>Results!A19</f>
        <v>0</v>
      </c>
      <c r="C3" s="18"/>
      <c r="D3" s="36"/>
      <c r="E3" s="184">
        <f>Results!B19</f>
        <v>0</v>
      </c>
      <c r="F3" s="184"/>
      <c r="G3" s="184"/>
      <c r="H3" s="183">
        <f>Results!O19</f>
        <v>0</v>
      </c>
      <c r="I3" s="183"/>
      <c r="J3" s="183"/>
      <c r="K3" s="66"/>
    </row>
    <row r="4" spans="1:11" ht="15.75" customHeight="1" x14ac:dyDescent="0.2">
      <c r="A4" s="15"/>
      <c r="B4" s="17">
        <f>E3</f>
        <v>0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str">
        <f>SpellNumber(H3)</f>
        <v>No Dollars and No Cents</v>
      </c>
      <c r="E5" s="181"/>
      <c r="F5" s="181"/>
      <c r="G5" s="181"/>
      <c r="H5" s="181"/>
      <c r="J5" s="15"/>
    </row>
    <row r="6" spans="1:11" x14ac:dyDescent="0.2">
      <c r="A6" s="15"/>
      <c r="B6" s="35">
        <f>Results!I19</f>
        <v>0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>
        <f>Results!Q4-Results!M19</f>
        <v>0</v>
      </c>
      <c r="C8" s="15"/>
      <c r="D8" s="185">
        <f>B3</f>
        <v>0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>
        <f>H3</f>
        <v>0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E3" sqref="E3:G3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E3" sqref="E3:G3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E3" sqref="E3:G3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E3" sqref="E3:G3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E3" sqref="E3:G3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7720-7E6A-46FF-A0E6-CC73AF2B9234}">
  <sheetPr codeName="Sheet15"/>
  <dimension ref="A1:K16"/>
  <sheetViews>
    <sheetView workbookViewId="0">
      <selection activeCell="E7" sqref="E7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>
        <f>Results!A20</f>
        <v>0</v>
      </c>
      <c r="C3" s="18"/>
      <c r="D3" s="36"/>
      <c r="E3" s="184">
        <f>Results!B20</f>
        <v>0</v>
      </c>
      <c r="F3" s="184"/>
      <c r="G3" s="184"/>
      <c r="H3" s="183">
        <f>Results!O20</f>
        <v>0</v>
      </c>
      <c r="I3" s="183"/>
      <c r="J3" s="183"/>
      <c r="K3" s="66"/>
    </row>
    <row r="4" spans="1:11" ht="15.75" customHeight="1" x14ac:dyDescent="0.2">
      <c r="A4" s="15"/>
      <c r="B4" s="17">
        <f>E3</f>
        <v>0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str">
        <f>SpellNumber(H3)</f>
        <v>No Dollars and No Cents</v>
      </c>
      <c r="E5" s="181"/>
      <c r="F5" s="181"/>
      <c r="G5" s="181"/>
      <c r="H5" s="181"/>
      <c r="J5" s="15"/>
    </row>
    <row r="6" spans="1:11" x14ac:dyDescent="0.2">
      <c r="A6" s="15"/>
      <c r="B6" s="35">
        <f>Results!I20</f>
        <v>0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>
        <f>Results!Q4-Results!M20</f>
        <v>0</v>
      </c>
      <c r="C8" s="15"/>
      <c r="D8" s="185">
        <f>B3</f>
        <v>0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>
        <f>H3</f>
        <v>0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E7" sqref="E7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E7" sqref="E7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E7" sqref="E7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E7" sqref="E7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E7" sqref="E7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4B36B-33D2-480D-BA13-F3E560F4BB1F}">
  <sheetPr codeName="Sheet16"/>
  <dimension ref="A1:K16"/>
  <sheetViews>
    <sheetView workbookViewId="0">
      <selection activeCell="E3" sqref="E3:G3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>
        <f>Results!A21</f>
        <v>0</v>
      </c>
      <c r="C3" s="18"/>
      <c r="D3" s="36"/>
      <c r="E3" s="184">
        <f>Results!B21</f>
        <v>0</v>
      </c>
      <c r="F3" s="184"/>
      <c r="G3" s="184"/>
      <c r="H3" s="183">
        <f>Results!O21</f>
        <v>0</v>
      </c>
      <c r="I3" s="183"/>
      <c r="J3" s="183"/>
      <c r="K3" s="66"/>
    </row>
    <row r="4" spans="1:11" ht="15.75" customHeight="1" x14ac:dyDescent="0.2">
      <c r="A4" s="15"/>
      <c r="B4" s="17">
        <f>E3</f>
        <v>0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str">
        <f>SpellNumber(H3)</f>
        <v>No Dollars and No Cents</v>
      </c>
      <c r="E5" s="181"/>
      <c r="F5" s="181"/>
      <c r="G5" s="181"/>
      <c r="H5" s="181"/>
      <c r="J5" s="15"/>
    </row>
    <row r="6" spans="1:11" x14ac:dyDescent="0.2">
      <c r="A6" s="15"/>
      <c r="B6" s="35">
        <f>Results!I21</f>
        <v>0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>
        <f>Results!Q4-Results!M21</f>
        <v>0</v>
      </c>
      <c r="C8" s="15"/>
      <c r="D8" s="185">
        <f>B3</f>
        <v>0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>
        <f>H3</f>
        <v>0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E3" sqref="E3:G3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E3" sqref="E3:G3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E3" sqref="E3:G3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E3" sqref="E3:G3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E3" sqref="E3:G3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EEC9F-EF09-4BC5-8E09-FF51A830AC5F}">
  <sheetPr codeName="Sheet17"/>
  <dimension ref="A1:K16"/>
  <sheetViews>
    <sheetView workbookViewId="0">
      <selection activeCell="E3" sqref="E3:G3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>
        <f>Results!A22</f>
        <v>0</v>
      </c>
      <c r="C3" s="18"/>
      <c r="D3" s="36"/>
      <c r="E3" s="184">
        <f>Results!B22</f>
        <v>0</v>
      </c>
      <c r="F3" s="184"/>
      <c r="G3" s="184"/>
      <c r="H3" s="183">
        <f>Results!O22</f>
        <v>0</v>
      </c>
      <c r="I3" s="183"/>
      <c r="J3" s="183"/>
      <c r="K3" s="66"/>
    </row>
    <row r="4" spans="1:11" ht="15.75" customHeight="1" x14ac:dyDescent="0.2">
      <c r="A4" s="15"/>
      <c r="B4" s="17">
        <f>E3</f>
        <v>0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str">
        <f>SpellNumber(H3)</f>
        <v>No Dollars and No Cents</v>
      </c>
      <c r="E5" s="181"/>
      <c r="F5" s="181"/>
      <c r="G5" s="181"/>
      <c r="H5" s="181"/>
      <c r="J5" s="15"/>
    </row>
    <row r="6" spans="1:11" x14ac:dyDescent="0.2">
      <c r="A6" s="15"/>
      <c r="B6" s="35">
        <f>Results!I22</f>
        <v>0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>
        <f>Results!Q4-Results!M22</f>
        <v>0</v>
      </c>
      <c r="C8" s="15"/>
      <c r="D8" s="185">
        <f>B3</f>
        <v>0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>
        <f>H3</f>
        <v>0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E3" sqref="E3:G3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E3" sqref="E3:G3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E3" sqref="E3:G3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E3" sqref="E3:G3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E3" sqref="E3:G3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CABD-2C86-4419-8A71-AA2EB5DBC1B5}">
  <sheetPr codeName="Sheet18"/>
  <dimension ref="A1:K16"/>
  <sheetViews>
    <sheetView workbookViewId="0">
      <selection activeCell="E3" sqref="E3:G3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>
        <f>Results!A23</f>
        <v>0</v>
      </c>
      <c r="C3" s="18"/>
      <c r="D3" s="36"/>
      <c r="E3" s="184">
        <f>Results!B23</f>
        <v>0</v>
      </c>
      <c r="F3" s="184"/>
      <c r="G3" s="184"/>
      <c r="H3" s="183">
        <f>Results!O23</f>
        <v>0</v>
      </c>
      <c r="I3" s="183"/>
      <c r="J3" s="183"/>
      <c r="K3" s="66"/>
    </row>
    <row r="4" spans="1:11" ht="15.75" customHeight="1" x14ac:dyDescent="0.2">
      <c r="A4" s="15"/>
      <c r="B4" s="17">
        <f>E3</f>
        <v>0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str">
        <f>SpellNumber(H3)</f>
        <v>No Dollars and No Cents</v>
      </c>
      <c r="E5" s="181"/>
      <c r="F5" s="181"/>
      <c r="G5" s="181"/>
      <c r="H5" s="181"/>
      <c r="J5" s="15"/>
    </row>
    <row r="6" spans="1:11" x14ac:dyDescent="0.2">
      <c r="A6" s="15"/>
      <c r="B6" s="35">
        <f>Results!I23</f>
        <v>0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>
        <f>Results!Q4-Results!M23</f>
        <v>0</v>
      </c>
      <c r="C8" s="15"/>
      <c r="D8" s="185">
        <f>B3</f>
        <v>0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>
        <f>H3</f>
        <v>0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E3" sqref="E3:G3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E3" sqref="E3:G3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E3" sqref="E3:G3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E3" sqref="E3:G3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E3" sqref="E3:G3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FCF90-7039-447F-897C-289DBCC18CE2}">
  <sheetPr codeName="Sheet19"/>
  <dimension ref="A1:K16"/>
  <sheetViews>
    <sheetView workbookViewId="0">
      <selection activeCell="H3" sqref="H3:J3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>
        <f>Results!A24</f>
        <v>0</v>
      </c>
      <c r="C3" s="18"/>
      <c r="D3" s="36"/>
      <c r="E3" s="184">
        <f>Results!B24</f>
        <v>0</v>
      </c>
      <c r="F3" s="184"/>
      <c r="G3" s="184"/>
      <c r="H3" s="183">
        <f>Results!O24</f>
        <v>0</v>
      </c>
      <c r="I3" s="183"/>
      <c r="J3" s="183"/>
      <c r="K3" s="66"/>
    </row>
    <row r="4" spans="1:11" ht="15.75" customHeight="1" x14ac:dyDescent="0.2">
      <c r="A4" s="15"/>
      <c r="B4" s="17">
        <f>E3</f>
        <v>0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str">
        <f>SpellNumber(H3)</f>
        <v>No Dollars and No Cents</v>
      </c>
      <c r="E5" s="181"/>
      <c r="F5" s="181"/>
      <c r="G5" s="181"/>
      <c r="H5" s="181"/>
      <c r="J5" s="15"/>
    </row>
    <row r="6" spans="1:11" x14ac:dyDescent="0.2">
      <c r="A6" s="15"/>
      <c r="B6" s="35">
        <f>Results!I24</f>
        <v>0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>
        <f>Results!Q4-Results!M24</f>
        <v>0</v>
      </c>
      <c r="C8" s="15"/>
      <c r="D8" s="185">
        <f>B3</f>
        <v>0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>
        <f>H3</f>
        <v>0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H3" sqref="H3:J3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H3" sqref="H3:J3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H3" sqref="H3:J3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H3" sqref="H3:J3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H3" sqref="H3:J3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494E7-11A3-4135-A620-A964CB104AF7}">
  <sheetPr codeName="Sheet20"/>
  <dimension ref="A1:K16"/>
  <sheetViews>
    <sheetView workbookViewId="0">
      <selection activeCell="F9" sqref="F9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>
        <f>Results!A25</f>
        <v>0</v>
      </c>
      <c r="C3" s="18"/>
      <c r="D3" s="36"/>
      <c r="E3" s="184">
        <f>Results!B25</f>
        <v>0</v>
      </c>
      <c r="F3" s="184"/>
      <c r="G3" s="184"/>
      <c r="H3" s="183">
        <f>Results!O25</f>
        <v>0</v>
      </c>
      <c r="I3" s="183"/>
      <c r="J3" s="183"/>
      <c r="K3" s="66"/>
    </row>
    <row r="4" spans="1:11" ht="15.75" customHeight="1" x14ac:dyDescent="0.2">
      <c r="A4" s="15"/>
      <c r="B4" s="17">
        <f>E3</f>
        <v>0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str">
        <f>SpellNumber(H3)</f>
        <v>No Dollars and No Cents</v>
      </c>
      <c r="E5" s="181"/>
      <c r="F5" s="181"/>
      <c r="G5" s="181"/>
      <c r="H5" s="181"/>
      <c r="J5" s="15"/>
    </row>
    <row r="6" spans="1:11" x14ac:dyDescent="0.2">
      <c r="A6" s="15"/>
      <c r="B6" s="35">
        <f>Results!I25</f>
        <v>0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>
        <f>Results!Q4-Results!M25</f>
        <v>0</v>
      </c>
      <c r="C8" s="15"/>
      <c r="D8" s="185">
        <f>B3</f>
        <v>0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>
        <f>H3</f>
        <v>0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F9" sqref="F9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F9" sqref="F9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F9" sqref="F9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F9" sqref="F9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F9" sqref="F9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A152-CD21-4C33-9480-F6572EFE0D73}">
  <sheetPr codeName="Sheet21"/>
  <dimension ref="A1:K16"/>
  <sheetViews>
    <sheetView workbookViewId="0">
      <selection activeCell="F8" sqref="F8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>
        <f>Results!A26</f>
        <v>0</v>
      </c>
      <c r="C3" s="18"/>
      <c r="D3" s="36"/>
      <c r="E3" s="184">
        <f>Results!B26</f>
        <v>0</v>
      </c>
      <c r="F3" s="184"/>
      <c r="G3" s="184"/>
      <c r="H3" s="183">
        <f>Results!O26</f>
        <v>0</v>
      </c>
      <c r="I3" s="183"/>
      <c r="J3" s="183"/>
      <c r="K3" s="66"/>
    </row>
    <row r="4" spans="1:11" ht="15.75" customHeight="1" x14ac:dyDescent="0.2">
      <c r="A4" s="15"/>
      <c r="B4" s="17">
        <f>E3</f>
        <v>0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str">
        <f>SpellNumber(H3)</f>
        <v>No Dollars and No Cents</v>
      </c>
      <c r="E5" s="181"/>
      <c r="F5" s="181"/>
      <c r="G5" s="181"/>
      <c r="H5" s="181"/>
      <c r="J5" s="15"/>
    </row>
    <row r="6" spans="1:11" x14ac:dyDescent="0.2">
      <c r="A6" s="15"/>
      <c r="B6" s="35">
        <f>Results!I26</f>
        <v>0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>
        <f>Results!Q4-Results!M26</f>
        <v>0</v>
      </c>
      <c r="C8" s="15"/>
      <c r="D8" s="185">
        <f>B3</f>
        <v>0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>
        <f>H3</f>
        <v>0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F8" sqref="F8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F8" sqref="F8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F8" sqref="F8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F8" sqref="F8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F8" sqref="F8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407D-9B4F-4C50-8A76-AE1ECB849EE4}">
  <sheetPr codeName="Sheet22"/>
  <dimension ref="A1:K16"/>
  <sheetViews>
    <sheetView workbookViewId="0">
      <selection activeCell="B3" sqref="B3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>
        <f>Results!A27</f>
        <v>0</v>
      </c>
      <c r="C3" s="18"/>
      <c r="D3" s="36"/>
      <c r="E3" s="184">
        <f>Results!B27</f>
        <v>0</v>
      </c>
      <c r="F3" s="184"/>
      <c r="G3" s="184"/>
      <c r="H3" s="183">
        <f>Results!O27</f>
        <v>0</v>
      </c>
      <c r="I3" s="183"/>
      <c r="J3" s="183"/>
      <c r="K3" s="66"/>
    </row>
    <row r="4" spans="1:11" ht="15.75" customHeight="1" x14ac:dyDescent="0.2">
      <c r="A4" s="15"/>
      <c r="B4" s="17">
        <f>E3</f>
        <v>0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str">
        <f>SpellNumber(H3)</f>
        <v>No Dollars and No Cents</v>
      </c>
      <c r="E5" s="181"/>
      <c r="F5" s="181"/>
      <c r="G5" s="181"/>
      <c r="H5" s="181"/>
      <c r="J5" s="15"/>
    </row>
    <row r="6" spans="1:11" x14ac:dyDescent="0.2">
      <c r="A6" s="15"/>
      <c r="B6" s="35">
        <f>Results!I27</f>
        <v>0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>
        <f>Results!Q4-Results!M27</f>
        <v>0</v>
      </c>
      <c r="C8" s="15"/>
      <c r="D8" s="185">
        <f>B3</f>
        <v>0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>
        <f>H3</f>
        <v>0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B3" sqref="B3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B3" sqref="B3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B3" sqref="B3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B3" sqref="B3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B3" sqref="B3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4A8F-64A9-45C8-9139-50397D3CD6D2}">
  <sheetPr codeName="Sheet23"/>
  <dimension ref="A1:K16"/>
  <sheetViews>
    <sheetView workbookViewId="0">
      <selection activeCell="B3" sqref="B3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>
        <f>Results!A28</f>
        <v>0</v>
      </c>
      <c r="C3" s="18"/>
      <c r="D3" s="36"/>
      <c r="E3" s="184">
        <f>Results!B28</f>
        <v>0</v>
      </c>
      <c r="F3" s="184"/>
      <c r="G3" s="184"/>
      <c r="H3" s="183">
        <f>Results!O28</f>
        <v>0</v>
      </c>
      <c r="I3" s="183"/>
      <c r="J3" s="183"/>
      <c r="K3" s="66"/>
    </row>
    <row r="4" spans="1:11" ht="15.75" customHeight="1" x14ac:dyDescent="0.2">
      <c r="A4" s="15"/>
      <c r="B4" s="17">
        <f>E3</f>
        <v>0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str">
        <f>SpellNumber(H3)</f>
        <v>No Dollars and No Cents</v>
      </c>
      <c r="E5" s="181"/>
      <c r="F5" s="181"/>
      <c r="G5" s="181"/>
      <c r="H5" s="181"/>
      <c r="J5" s="15"/>
    </row>
    <row r="6" spans="1:11" x14ac:dyDescent="0.2">
      <c r="A6" s="15"/>
      <c r="B6" s="35">
        <f>Results!I28</f>
        <v>0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>
        <f>Results!Q4-Results!M28</f>
        <v>0</v>
      </c>
      <c r="C8" s="15"/>
      <c r="D8" s="185">
        <f>B3</f>
        <v>0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>
        <f>H3</f>
        <v>0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B3" sqref="B3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B3" sqref="B3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B3" sqref="B3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B3" sqref="B3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B3" sqref="B3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5FD72-FFCC-4E76-BE1D-D2E51730A19D}">
  <sheetPr codeName="Sheet24"/>
  <dimension ref="A1:K16"/>
  <sheetViews>
    <sheetView workbookViewId="0">
      <selection activeCell="B3" sqref="B3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>
        <f>Results!A29</f>
        <v>0</v>
      </c>
      <c r="C3" s="18"/>
      <c r="D3" s="36"/>
      <c r="E3" s="184">
        <f>Results!B29</f>
        <v>0</v>
      </c>
      <c r="F3" s="184"/>
      <c r="G3" s="184"/>
      <c r="H3" s="183">
        <f>Results!O29</f>
        <v>0</v>
      </c>
      <c r="I3" s="183"/>
      <c r="J3" s="183"/>
      <c r="K3" s="66"/>
    </row>
    <row r="4" spans="1:11" ht="15.75" customHeight="1" x14ac:dyDescent="0.2">
      <c r="A4" s="15"/>
      <c r="B4" s="17">
        <f>E3</f>
        <v>0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str">
        <f>SpellNumber(H3)</f>
        <v>No Dollars and No Cents</v>
      </c>
      <c r="E5" s="181"/>
      <c r="F5" s="181"/>
      <c r="G5" s="181"/>
      <c r="H5" s="181"/>
      <c r="J5" s="15"/>
    </row>
    <row r="6" spans="1:11" x14ac:dyDescent="0.2">
      <c r="A6" s="15"/>
      <c r="B6" s="35">
        <f>Results!I29</f>
        <v>0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>
        <f>Results!Q4-Results!M29</f>
        <v>0</v>
      </c>
      <c r="C8" s="15"/>
      <c r="D8" s="185">
        <f>B3</f>
        <v>0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>
        <f>H3</f>
        <v>0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B3" sqref="B3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B3" sqref="B3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B3" sqref="B3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B3" sqref="B3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B3" sqref="B3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DE54A-DDDF-45BF-B662-8C454D1A0501}">
  <sheetPr codeName="Sheet25"/>
  <dimension ref="A1:K16"/>
  <sheetViews>
    <sheetView workbookViewId="0">
      <selection activeCell="B3" sqref="B3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>
        <f>Results!A30</f>
        <v>0</v>
      </c>
      <c r="C3" s="18"/>
      <c r="D3" s="36"/>
      <c r="E3" s="184">
        <f>Results!B30</f>
        <v>0</v>
      </c>
      <c r="F3" s="184"/>
      <c r="G3" s="184"/>
      <c r="H3" s="183">
        <f>Results!O30</f>
        <v>0</v>
      </c>
      <c r="I3" s="183"/>
      <c r="J3" s="183"/>
      <c r="K3" s="66"/>
    </row>
    <row r="4" spans="1:11" ht="15.75" customHeight="1" x14ac:dyDescent="0.2">
      <c r="A4" s="15"/>
      <c r="B4" s="17">
        <f>E3</f>
        <v>0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str">
        <f>SpellNumber(H3)</f>
        <v>No Dollars and No Cents</v>
      </c>
      <c r="E5" s="181"/>
      <c r="F5" s="181"/>
      <c r="G5" s="181"/>
      <c r="H5" s="181"/>
      <c r="J5" s="15"/>
    </row>
    <row r="6" spans="1:11" x14ac:dyDescent="0.2">
      <c r="A6" s="15"/>
      <c r="B6" s="35">
        <f>Results!I30</f>
        <v>0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>
        <f>Results!Q4-Results!M30</f>
        <v>0</v>
      </c>
      <c r="C8" s="15"/>
      <c r="D8" s="185">
        <f>B3</f>
        <v>0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>
        <f>H3</f>
        <v>0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B3" sqref="B3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B3" sqref="B3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B3" sqref="B3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B3" sqref="B3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B3" sqref="B3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A1E56-5C76-43BD-8DAD-8B6ABB1DBCDF}">
  <sheetPr codeName="Sheet26"/>
  <dimension ref="A1:K16"/>
  <sheetViews>
    <sheetView workbookViewId="0">
      <selection activeCell="B3" sqref="B3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>
        <f>Results!A31</f>
        <v>0</v>
      </c>
      <c r="C3" s="18"/>
      <c r="D3" s="36"/>
      <c r="E3" s="184">
        <f>Results!B31</f>
        <v>0</v>
      </c>
      <c r="F3" s="184"/>
      <c r="G3" s="184"/>
      <c r="H3" s="183">
        <f>Results!O31</f>
        <v>0</v>
      </c>
      <c r="I3" s="183"/>
      <c r="J3" s="183"/>
      <c r="K3" s="66"/>
    </row>
    <row r="4" spans="1:11" ht="15.75" customHeight="1" x14ac:dyDescent="0.2">
      <c r="A4" s="15"/>
      <c r="B4" s="17">
        <f>E3</f>
        <v>0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str">
        <f>SpellNumber(H3)</f>
        <v>No Dollars and No Cents</v>
      </c>
      <c r="E5" s="181"/>
      <c r="F5" s="181"/>
      <c r="G5" s="181"/>
      <c r="H5" s="181"/>
      <c r="J5" s="15"/>
    </row>
    <row r="6" spans="1:11" x14ac:dyDescent="0.2">
      <c r="A6" s="15"/>
      <c r="B6" s="35">
        <f>Results!I31</f>
        <v>0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>
        <f>Results!Q4-Results!M31</f>
        <v>0</v>
      </c>
      <c r="C8" s="15"/>
      <c r="D8" s="185">
        <f>B3</f>
        <v>0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>
        <f>H3</f>
        <v>0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B3" sqref="B3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B3" sqref="B3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B3" sqref="B3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B3" sqref="B3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B3" sqref="B3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A7283-0D2B-4C88-AD07-456D493A25CE}">
  <sheetPr codeName="Sheet27"/>
  <dimension ref="A1:K16"/>
  <sheetViews>
    <sheetView workbookViewId="0">
      <selection activeCell="E4" sqref="E4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>
        <f>Results!A32</f>
        <v>0</v>
      </c>
      <c r="C3" s="18"/>
      <c r="D3" s="36"/>
      <c r="E3" s="184">
        <f>Results!B32</f>
        <v>0</v>
      </c>
      <c r="F3" s="184"/>
      <c r="G3" s="184"/>
      <c r="H3" s="183">
        <f>Results!O32</f>
        <v>0</v>
      </c>
      <c r="I3" s="183"/>
      <c r="J3" s="183"/>
      <c r="K3" s="66"/>
    </row>
    <row r="4" spans="1:11" ht="15.75" customHeight="1" x14ac:dyDescent="0.2">
      <c r="A4" s="15"/>
      <c r="B4" s="17">
        <f>E3</f>
        <v>0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str">
        <f>SpellNumber(H3)</f>
        <v>No Dollars and No Cents</v>
      </c>
      <c r="E5" s="181"/>
      <c r="F5" s="181"/>
      <c r="G5" s="181"/>
      <c r="H5" s="181"/>
      <c r="J5" s="15"/>
    </row>
    <row r="6" spans="1:11" x14ac:dyDescent="0.2">
      <c r="A6" s="15"/>
      <c r="B6" s="35">
        <f>Results!I32</f>
        <v>0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>
        <f>Results!Q4-Results!M32</f>
        <v>0</v>
      </c>
      <c r="C8" s="15"/>
      <c r="D8" s="185">
        <f>B3</f>
        <v>0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>
        <f>H3</f>
        <v>0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E4" sqref="E4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E4" sqref="E4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E4" sqref="E4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E4" sqref="E4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E4" sqref="E4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DD379-C73B-4F69-A53B-E2F6AB8CC931}">
  <sheetPr codeName="Sheet28"/>
  <dimension ref="A1:K16"/>
  <sheetViews>
    <sheetView workbookViewId="0">
      <selection activeCell="D7" sqref="D7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>
        <f>Results!A33</f>
        <v>0</v>
      </c>
      <c r="C3" s="18"/>
      <c r="D3" s="36"/>
      <c r="E3" s="184">
        <f>Results!B33</f>
        <v>0</v>
      </c>
      <c r="F3" s="184"/>
      <c r="G3" s="184"/>
      <c r="H3" s="183">
        <f>Results!O33</f>
        <v>0</v>
      </c>
      <c r="I3" s="183"/>
      <c r="J3" s="183"/>
      <c r="K3" s="66"/>
    </row>
    <row r="4" spans="1:11" ht="15.75" customHeight="1" x14ac:dyDescent="0.2">
      <c r="A4" s="15"/>
      <c r="B4" s="17">
        <f>E3</f>
        <v>0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str">
        <f>SpellNumber(H3)</f>
        <v>No Dollars and No Cents</v>
      </c>
      <c r="E5" s="181"/>
      <c r="F5" s="181"/>
      <c r="G5" s="181"/>
      <c r="H5" s="181"/>
      <c r="J5" s="15"/>
    </row>
    <row r="6" spans="1:11" x14ac:dyDescent="0.2">
      <c r="A6" s="15"/>
      <c r="B6" s="35">
        <f>Results!I33</f>
        <v>0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>
        <f>Results!Q4-Results!M33</f>
        <v>0</v>
      </c>
      <c r="C8" s="15"/>
      <c r="D8" s="185">
        <f>B3</f>
        <v>0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>
        <f>H3</f>
        <v>0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D7" sqref="D7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D7" sqref="D7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D7" sqref="D7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D7" sqref="D7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D7" sqref="D7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F002B-4A66-41AD-B4E0-D9F91127AE99}">
  <sheetPr codeName="Sheet29"/>
  <dimension ref="A1:K16"/>
  <sheetViews>
    <sheetView workbookViewId="0">
      <selection activeCell="B3" sqref="B3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 t="e">
        <f>Results!#REF!</f>
        <v>#REF!</v>
      </c>
      <c r="C3" s="18"/>
      <c r="D3" s="36"/>
      <c r="E3" s="184" t="e">
        <f>Results!#REF!</f>
        <v>#REF!</v>
      </c>
      <c r="F3" s="184"/>
      <c r="G3" s="184"/>
      <c r="H3" s="183" t="e">
        <f>Results!#REF!</f>
        <v>#REF!</v>
      </c>
      <c r="I3" s="183"/>
      <c r="J3" s="183"/>
      <c r="K3" s="66"/>
    </row>
    <row r="4" spans="1:11" ht="15.75" customHeight="1" x14ac:dyDescent="0.2">
      <c r="A4" s="15"/>
      <c r="B4" s="17" t="e">
        <f>E3</f>
        <v>#REF!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e">
        <f>SpellNumber(H3)</f>
        <v>#VALUE!</v>
      </c>
      <c r="E5" s="181"/>
      <c r="F5" s="181"/>
      <c r="G5" s="181"/>
      <c r="H5" s="181"/>
      <c r="J5" s="15"/>
    </row>
    <row r="6" spans="1:11" x14ac:dyDescent="0.2">
      <c r="A6" s="15"/>
      <c r="B6" s="35" t="e">
        <f>Results!#REF!</f>
        <v>#REF!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 t="e">
        <f>Results!Q4-Results!#REF!</f>
        <v>#REF!</v>
      </c>
      <c r="C8" s="15"/>
      <c r="D8" s="185" t="e">
        <f>B3</f>
        <v>#REF!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 t="e">
        <f>H3</f>
        <v>#REF!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B3" sqref="B3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B3" sqref="B3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B3" sqref="B3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B3" sqref="B3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B3" sqref="B3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CAB0-1D6D-4506-A6C3-B29DE612F88C}">
  <sheetPr codeName="Sheet30"/>
  <dimension ref="A1:K16"/>
  <sheetViews>
    <sheetView workbookViewId="0">
      <selection activeCell="E3" sqref="E3:G3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 t="e">
        <f>Results!#REF!</f>
        <v>#REF!</v>
      </c>
      <c r="C3" s="18"/>
      <c r="D3" s="36"/>
      <c r="E3" s="184" t="e">
        <f>Results!#REF!</f>
        <v>#REF!</v>
      </c>
      <c r="F3" s="184"/>
      <c r="G3" s="184"/>
      <c r="H3" s="183" t="e">
        <f>Results!#REF!</f>
        <v>#REF!</v>
      </c>
      <c r="I3" s="183"/>
      <c r="J3" s="183"/>
      <c r="K3" s="66"/>
    </row>
    <row r="4" spans="1:11" ht="15.75" customHeight="1" x14ac:dyDescent="0.2">
      <c r="A4" s="15"/>
      <c r="B4" s="17" t="e">
        <f>E3</f>
        <v>#REF!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e">
        <f>SpellNumber(H3)</f>
        <v>#VALUE!</v>
      </c>
      <c r="E5" s="181"/>
      <c r="F5" s="181"/>
      <c r="G5" s="181"/>
      <c r="H5" s="181"/>
      <c r="J5" s="15"/>
    </row>
    <row r="6" spans="1:11" x14ac:dyDescent="0.2">
      <c r="A6" s="15"/>
      <c r="B6" s="35" t="e">
        <f>Results!#REF!</f>
        <v>#REF!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 t="e">
        <f>Results!Q4-Results!#REF!</f>
        <v>#REF!</v>
      </c>
      <c r="C8" s="15"/>
      <c r="D8" s="185" t="e">
        <f>B3</f>
        <v>#REF!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 t="e">
        <f>H3</f>
        <v>#REF!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E3" sqref="E3:G3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E3" sqref="E3:G3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E3" sqref="E3:G3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E3" sqref="E3:G3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E3" sqref="E3:G3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42712-D976-44BB-B9F8-4D2A701B391F}">
  <sheetPr codeName="Sheet31"/>
  <dimension ref="A1:K16"/>
  <sheetViews>
    <sheetView workbookViewId="0">
      <selection activeCell="D5" sqref="D5:H5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 t="e">
        <f>Results!#REF!</f>
        <v>#REF!</v>
      </c>
      <c r="C3" s="18"/>
      <c r="D3" s="36"/>
      <c r="E3" s="184" t="e">
        <f>Results!#REF!</f>
        <v>#REF!</v>
      </c>
      <c r="F3" s="184"/>
      <c r="G3" s="184"/>
      <c r="H3" s="183" t="e">
        <f>Results!#REF!</f>
        <v>#REF!</v>
      </c>
      <c r="I3" s="183"/>
      <c r="J3" s="183"/>
      <c r="K3" s="66"/>
    </row>
    <row r="4" spans="1:11" ht="15.75" customHeight="1" x14ac:dyDescent="0.2">
      <c r="A4" s="15"/>
      <c r="B4" s="17" t="e">
        <f>E3</f>
        <v>#REF!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e">
        <f>SpellNumber(H3)</f>
        <v>#VALUE!</v>
      </c>
      <c r="E5" s="181"/>
      <c r="F5" s="181"/>
      <c r="G5" s="181"/>
      <c r="H5" s="181"/>
      <c r="J5" s="15"/>
    </row>
    <row r="6" spans="1:11" x14ac:dyDescent="0.2">
      <c r="A6" s="15"/>
      <c r="B6" s="35" t="e">
        <f>Results!#REF!</f>
        <v>#REF!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 t="e">
        <f>Results!Q4-Results!#REF!</f>
        <v>#REF!</v>
      </c>
      <c r="C8" s="15"/>
      <c r="D8" s="185" t="e">
        <f>B3</f>
        <v>#REF!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 t="e">
        <f>H3</f>
        <v>#REF!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D5" sqref="D5:H5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D5" sqref="D5:H5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D5" sqref="D5:H5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D5" sqref="D5:H5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D5" sqref="D5:H5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E3277-A0BB-4A38-86A6-3299C6A92326}">
  <sheetPr codeName="Sheet32"/>
  <dimension ref="A1:K16"/>
  <sheetViews>
    <sheetView workbookViewId="0">
      <selection activeCell="D4" sqref="D4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 t="e">
        <f>Results!#REF!</f>
        <v>#REF!</v>
      </c>
      <c r="C3" s="18"/>
      <c r="D3" s="36"/>
      <c r="E3" s="184" t="e">
        <f>Results!#REF!</f>
        <v>#REF!</v>
      </c>
      <c r="F3" s="184"/>
      <c r="G3" s="184"/>
      <c r="H3" s="183" t="e">
        <f>Results!#REF!</f>
        <v>#REF!</v>
      </c>
      <c r="I3" s="183"/>
      <c r="J3" s="183"/>
      <c r="K3" s="66"/>
    </row>
    <row r="4" spans="1:11" ht="15.75" customHeight="1" x14ac:dyDescent="0.2">
      <c r="A4" s="15"/>
      <c r="B4" s="17" t="e">
        <f>E3</f>
        <v>#REF!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e">
        <f>SpellNumber(H3)</f>
        <v>#VALUE!</v>
      </c>
      <c r="E5" s="181"/>
      <c r="F5" s="181"/>
      <c r="G5" s="181"/>
      <c r="H5" s="181"/>
      <c r="J5" s="15"/>
    </row>
    <row r="6" spans="1:11" x14ac:dyDescent="0.2">
      <c r="A6" s="15"/>
      <c r="B6" s="35" t="e">
        <f>Results!#REF!</f>
        <v>#REF!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 t="e">
        <f>Results!Q4-Results!#REF!</f>
        <v>#REF!</v>
      </c>
      <c r="C8" s="15"/>
      <c r="D8" s="185" t="e">
        <f>B3</f>
        <v>#REF!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 t="e">
        <f>H3</f>
        <v>#REF!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D4" sqref="D4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D4" sqref="D4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D4" sqref="D4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D4" sqref="D4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D4" sqref="D4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32CBF-843E-44D8-9A42-F95D6A5DD00B}">
  <sheetPr codeName="Sheet33"/>
  <dimension ref="A1:K16"/>
  <sheetViews>
    <sheetView workbookViewId="0">
      <selection activeCell="D4" sqref="D4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 t="e">
        <f>Results!#REF!</f>
        <v>#REF!</v>
      </c>
      <c r="C3" s="18"/>
      <c r="D3" s="36"/>
      <c r="E3" s="184" t="e">
        <f>Results!#REF!</f>
        <v>#REF!</v>
      </c>
      <c r="F3" s="184"/>
      <c r="G3" s="184"/>
      <c r="H3" s="183" t="e">
        <f>Results!#REF!</f>
        <v>#REF!</v>
      </c>
      <c r="I3" s="183"/>
      <c r="J3" s="183"/>
      <c r="K3" s="66"/>
    </row>
    <row r="4" spans="1:11" ht="15.75" customHeight="1" x14ac:dyDescent="0.2">
      <c r="A4" s="15"/>
      <c r="B4" s="17" t="e">
        <f>E3</f>
        <v>#REF!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e">
        <f>SpellNumber(H3)</f>
        <v>#VALUE!</v>
      </c>
      <c r="E5" s="181"/>
      <c r="F5" s="181"/>
      <c r="G5" s="181"/>
      <c r="H5" s="181"/>
      <c r="J5" s="15"/>
    </row>
    <row r="6" spans="1:11" x14ac:dyDescent="0.2">
      <c r="A6" s="15"/>
      <c r="B6" s="35" t="e">
        <f>Results!#REF!</f>
        <v>#REF!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 t="e">
        <f>Results!Q4-Results!#REF!</f>
        <v>#REF!</v>
      </c>
      <c r="C8" s="15"/>
      <c r="D8" s="185" t="e">
        <f>B3</f>
        <v>#REF!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 t="e">
        <f>H3</f>
        <v>#REF!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D4" sqref="D4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D4" sqref="D4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D4" sqref="D4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D4" sqref="D4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D4" sqref="D4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570E7-2B4B-40D0-BCF8-17E8F35C4A5B}">
  <sheetPr codeName="Sheet34"/>
  <dimension ref="A1:K16"/>
  <sheetViews>
    <sheetView workbookViewId="0">
      <selection activeCell="B3" sqref="B3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 t="e">
        <f>Results!#REF!</f>
        <v>#REF!</v>
      </c>
      <c r="C3" s="18"/>
      <c r="D3" s="36"/>
      <c r="E3" s="184" t="e">
        <f>Results!#REF!</f>
        <v>#REF!</v>
      </c>
      <c r="F3" s="184"/>
      <c r="G3" s="184"/>
      <c r="H3" s="183" t="e">
        <f>Results!#REF!</f>
        <v>#REF!</v>
      </c>
      <c r="I3" s="183"/>
      <c r="J3" s="183"/>
      <c r="K3" s="66"/>
    </row>
    <row r="4" spans="1:11" ht="15.75" customHeight="1" x14ac:dyDescent="0.2">
      <c r="A4" s="15"/>
      <c r="B4" s="17" t="e">
        <f>E3</f>
        <v>#REF!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e">
        <f>SpellNumber(H3)</f>
        <v>#VALUE!</v>
      </c>
      <c r="E5" s="181"/>
      <c r="F5" s="181"/>
      <c r="G5" s="181"/>
      <c r="H5" s="181"/>
      <c r="J5" s="15"/>
    </row>
    <row r="6" spans="1:11" x14ac:dyDescent="0.2">
      <c r="A6" s="15"/>
      <c r="B6" s="35" t="e">
        <f>Results!#REF!</f>
        <v>#REF!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 t="e">
        <f>Results!Q4-Results!#REF!</f>
        <v>#REF!</v>
      </c>
      <c r="C8" s="15"/>
      <c r="D8" s="185" t="e">
        <f>B3</f>
        <v>#REF!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 t="e">
        <f>H3</f>
        <v>#REF!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B3" sqref="B3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B3" sqref="B3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B3" sqref="B3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B3" sqref="B3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B3" sqref="B3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CB317-8BDE-4F1A-9FEC-3D000D0CB12F}">
  <sheetPr codeName="Sheet35"/>
  <dimension ref="A1:K16"/>
  <sheetViews>
    <sheetView workbookViewId="0">
      <selection activeCell="B3" sqref="B3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 t="e">
        <f>Results!#REF!</f>
        <v>#REF!</v>
      </c>
      <c r="C3" s="18"/>
      <c r="D3" s="36"/>
      <c r="E3" s="184" t="e">
        <f>Results!#REF!</f>
        <v>#REF!</v>
      </c>
      <c r="F3" s="184"/>
      <c r="G3" s="184"/>
      <c r="H3" s="183" t="e">
        <f>Results!#REF!</f>
        <v>#REF!</v>
      </c>
      <c r="I3" s="183"/>
      <c r="J3" s="183"/>
      <c r="K3" s="66"/>
    </row>
    <row r="4" spans="1:11" ht="15.75" customHeight="1" x14ac:dyDescent="0.2">
      <c r="A4" s="15"/>
      <c r="B4" s="17" t="e">
        <f>E3</f>
        <v>#REF!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e">
        <f>SpellNumber(H3)</f>
        <v>#VALUE!</v>
      </c>
      <c r="E5" s="181"/>
      <c r="F5" s="181"/>
      <c r="G5" s="181"/>
      <c r="H5" s="181"/>
      <c r="J5" s="15"/>
    </row>
    <row r="6" spans="1:11" x14ac:dyDescent="0.2">
      <c r="A6" s="15"/>
      <c r="B6" s="35" t="e">
        <f>Results!#REF!</f>
        <v>#REF!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 t="e">
        <f>Results!Q4-Results!#REF!</f>
        <v>#REF!</v>
      </c>
      <c r="C8" s="15"/>
      <c r="D8" s="185" t="e">
        <f>B3</f>
        <v>#REF!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 t="e">
        <f>H3</f>
        <v>#REF!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B3" sqref="B3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B3" sqref="B3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B3" sqref="B3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B3" sqref="B3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B3" sqref="B3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56681-CD74-4FC7-A5A9-A8C981E0A302}">
  <sheetPr codeName="Sheet36"/>
  <dimension ref="A1:K16"/>
  <sheetViews>
    <sheetView workbookViewId="0">
      <selection activeCell="B3" sqref="B3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 t="e">
        <f>Results!#REF!</f>
        <v>#REF!</v>
      </c>
      <c r="C3" s="18"/>
      <c r="D3" s="36"/>
      <c r="E3" s="184" t="e">
        <f>Results!#REF!</f>
        <v>#REF!</v>
      </c>
      <c r="F3" s="184"/>
      <c r="G3" s="184"/>
      <c r="H3" s="183" t="e">
        <f>Results!#REF!</f>
        <v>#REF!</v>
      </c>
      <c r="I3" s="183"/>
      <c r="J3" s="183"/>
      <c r="K3" s="66"/>
    </row>
    <row r="4" spans="1:11" ht="15.75" customHeight="1" x14ac:dyDescent="0.2">
      <c r="A4" s="15"/>
      <c r="B4" s="17" t="e">
        <f>E3</f>
        <v>#REF!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e">
        <f>SpellNumber(H3)</f>
        <v>#VALUE!</v>
      </c>
      <c r="E5" s="181"/>
      <c r="F5" s="181"/>
      <c r="G5" s="181"/>
      <c r="H5" s="181"/>
      <c r="J5" s="15"/>
    </row>
    <row r="6" spans="1:11" x14ac:dyDescent="0.2">
      <c r="A6" s="15"/>
      <c r="B6" s="35" t="e">
        <f>Results!#REF!</f>
        <v>#REF!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 t="e">
        <f>Results!Q4-Results!#REF!</f>
        <v>#REF!</v>
      </c>
      <c r="C8" s="15"/>
      <c r="D8" s="185" t="e">
        <f>B3</f>
        <v>#REF!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 t="e">
        <f>H3</f>
        <v>#REF!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B3" sqref="B3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B3" sqref="B3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B3" sqref="B3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B3" sqref="B3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B3" sqref="B3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0181-37C8-4693-A98A-282C38F9225C}">
  <sheetPr codeName="Sheet37"/>
  <dimension ref="A1:K16"/>
  <sheetViews>
    <sheetView workbookViewId="0">
      <selection activeCell="C6" sqref="C6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 t="e">
        <f>Results!#REF!</f>
        <v>#REF!</v>
      </c>
      <c r="C3" s="18"/>
      <c r="D3" s="36"/>
      <c r="E3" s="184" t="e">
        <f>Results!#REF!</f>
        <v>#REF!</v>
      </c>
      <c r="F3" s="184"/>
      <c r="G3" s="184"/>
      <c r="H3" s="183" t="e">
        <f>Results!#REF!</f>
        <v>#REF!</v>
      </c>
      <c r="I3" s="183"/>
      <c r="J3" s="183"/>
      <c r="K3" s="66"/>
    </row>
    <row r="4" spans="1:11" ht="15.75" customHeight="1" x14ac:dyDescent="0.2">
      <c r="A4" s="15"/>
      <c r="B4" s="17" t="e">
        <f>E3</f>
        <v>#REF!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e">
        <f>SpellNumber(H3)</f>
        <v>#VALUE!</v>
      </c>
      <c r="E5" s="181"/>
      <c r="F5" s="181"/>
      <c r="G5" s="181"/>
      <c r="H5" s="181"/>
      <c r="J5" s="15"/>
    </row>
    <row r="6" spans="1:11" x14ac:dyDescent="0.2">
      <c r="A6" s="15"/>
      <c r="B6" s="35" t="e">
        <f>Results!#REF!</f>
        <v>#REF!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 t="e">
        <f>Results!Q4-Results!#REF!</f>
        <v>#REF!</v>
      </c>
      <c r="C8" s="15"/>
      <c r="D8" s="185" t="e">
        <f>B3</f>
        <v>#REF!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 t="e">
        <f>H3</f>
        <v>#REF!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C6" sqref="C6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C6" sqref="C6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C6" sqref="C6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C6" sqref="C6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C6" sqref="C6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131CD-221D-47B8-921D-150437C5B8B1}">
  <sheetPr codeName="Sheet38"/>
  <dimension ref="A1:K16"/>
  <sheetViews>
    <sheetView workbookViewId="0">
      <selection activeCell="B3" sqref="B3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 t="e">
        <f>Results!#REF!</f>
        <v>#REF!</v>
      </c>
      <c r="C3" s="18"/>
      <c r="D3" s="36"/>
      <c r="E3" s="184" t="e">
        <f>Results!#REF!</f>
        <v>#REF!</v>
      </c>
      <c r="F3" s="184"/>
      <c r="G3" s="184"/>
      <c r="H3" s="183" t="e">
        <f>Results!#REF!</f>
        <v>#REF!</v>
      </c>
      <c r="I3" s="183"/>
      <c r="J3" s="183"/>
      <c r="K3" s="66"/>
    </row>
    <row r="4" spans="1:11" ht="15.75" customHeight="1" x14ac:dyDescent="0.2">
      <c r="A4" s="15"/>
      <c r="B4" s="17" t="e">
        <f>E3</f>
        <v>#REF!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e">
        <f>SpellNumber(H3)</f>
        <v>#VALUE!</v>
      </c>
      <c r="E5" s="181"/>
      <c r="F5" s="181"/>
      <c r="G5" s="181"/>
      <c r="H5" s="181"/>
      <c r="J5" s="15"/>
    </row>
    <row r="6" spans="1:11" x14ac:dyDescent="0.2">
      <c r="A6" s="15"/>
      <c r="B6" s="35" t="e">
        <f>Results!#REF!</f>
        <v>#REF!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 t="e">
        <f>Results!Q4-Results!#REF!</f>
        <v>#REF!</v>
      </c>
      <c r="C8" s="15"/>
      <c r="D8" s="185" t="e">
        <f>B3</f>
        <v>#REF!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 t="e">
        <f>H3</f>
        <v>#REF!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B3" sqref="B3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B3" sqref="B3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B3" sqref="B3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B3" sqref="B3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B3" sqref="B3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B070-D96E-4551-81A6-B7A4FF5A0909}">
  <sheetPr codeName="Sheet39"/>
  <dimension ref="A1:K16"/>
  <sheetViews>
    <sheetView workbookViewId="0">
      <selection activeCell="B3" sqref="B3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 t="e">
        <f>Results!#REF!</f>
        <v>#REF!</v>
      </c>
      <c r="C3" s="18"/>
      <c r="D3" s="36"/>
      <c r="E3" s="184" t="e">
        <f>Results!#REF!</f>
        <v>#REF!</v>
      </c>
      <c r="F3" s="184"/>
      <c r="G3" s="184"/>
      <c r="H3" s="183" t="e">
        <f>Results!#REF!</f>
        <v>#REF!</v>
      </c>
      <c r="I3" s="183"/>
      <c r="J3" s="183"/>
      <c r="K3" s="66"/>
    </row>
    <row r="4" spans="1:11" ht="15.75" customHeight="1" x14ac:dyDescent="0.2">
      <c r="A4" s="15"/>
      <c r="B4" s="17" t="e">
        <f>E3</f>
        <v>#REF!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e">
        <f>SpellNumber(H3)</f>
        <v>#VALUE!</v>
      </c>
      <c r="E5" s="181"/>
      <c r="F5" s="181"/>
      <c r="G5" s="181"/>
      <c r="H5" s="181"/>
      <c r="J5" s="15"/>
    </row>
    <row r="6" spans="1:11" x14ac:dyDescent="0.2">
      <c r="A6" s="15"/>
      <c r="B6" s="35" t="e">
        <f>Results!#REF!</f>
        <v>#REF!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 t="e">
        <f>Results!Q4-Results!#REF!</f>
        <v>#REF!</v>
      </c>
      <c r="C8" s="15"/>
      <c r="D8" s="185" t="e">
        <f>B3</f>
        <v>#REF!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 t="e">
        <f>H3</f>
        <v>#REF!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B3" sqref="B3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B3" sqref="B3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B3" sqref="B3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B3" sqref="B3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B3" sqref="B3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21AF0-E1A2-4938-855B-7B17FEEF0A3B}">
  <sheetPr codeName="Sheet40"/>
  <dimension ref="A1:K16"/>
  <sheetViews>
    <sheetView workbookViewId="0">
      <selection activeCell="D6" sqref="D6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 t="e">
        <f>Results!#REF!</f>
        <v>#REF!</v>
      </c>
      <c r="C3" s="18"/>
      <c r="D3" s="36"/>
      <c r="E3" s="184" t="e">
        <f>Results!#REF!</f>
        <v>#REF!</v>
      </c>
      <c r="F3" s="184"/>
      <c r="G3" s="184"/>
      <c r="H3" s="183" t="e">
        <f>Results!#REF!</f>
        <v>#REF!</v>
      </c>
      <c r="I3" s="183"/>
      <c r="J3" s="183"/>
      <c r="K3" s="66"/>
    </row>
    <row r="4" spans="1:11" ht="15.75" customHeight="1" x14ac:dyDescent="0.2">
      <c r="A4" s="15"/>
      <c r="B4" s="17" t="e">
        <f>E3</f>
        <v>#REF!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e">
        <f>SpellNumber(H3)</f>
        <v>#VALUE!</v>
      </c>
      <c r="E5" s="181"/>
      <c r="F5" s="181"/>
      <c r="G5" s="181"/>
      <c r="H5" s="181"/>
      <c r="J5" s="15"/>
    </row>
    <row r="6" spans="1:11" x14ac:dyDescent="0.2">
      <c r="A6" s="15"/>
      <c r="B6" s="35" t="e">
        <f>Results!#REF!</f>
        <v>#REF!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 t="e">
        <f>Results!Q4-Results!#REF!</f>
        <v>#REF!</v>
      </c>
      <c r="C8" s="15"/>
      <c r="D8" s="185" t="e">
        <f>B3</f>
        <v>#REF!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 t="e">
        <f>H3</f>
        <v>#REF!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D6" sqref="D6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D6" sqref="D6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D6" sqref="D6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D6" sqref="D6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D6" sqref="D6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942E3-4968-4341-870B-F540876F5EF4}">
  <sheetPr codeName="Sheet41"/>
  <dimension ref="A1:K16"/>
  <sheetViews>
    <sheetView workbookViewId="0">
      <selection activeCell="D4" sqref="D4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 t="e">
        <f>Results!#REF!</f>
        <v>#REF!</v>
      </c>
      <c r="C3" s="18"/>
      <c r="D3" s="36"/>
      <c r="E3" s="184" t="e">
        <f>Results!#REF!</f>
        <v>#REF!</v>
      </c>
      <c r="F3" s="184"/>
      <c r="G3" s="184"/>
      <c r="H3" s="183" t="e">
        <f>Results!#REF!</f>
        <v>#REF!</v>
      </c>
      <c r="I3" s="183"/>
      <c r="J3" s="183"/>
      <c r="K3" s="66"/>
    </row>
    <row r="4" spans="1:11" ht="15.75" customHeight="1" x14ac:dyDescent="0.2">
      <c r="A4" s="15"/>
      <c r="B4" s="17" t="e">
        <f>E3</f>
        <v>#REF!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e">
        <f>SpellNumber(H3)</f>
        <v>#VALUE!</v>
      </c>
      <c r="E5" s="181"/>
      <c r="F5" s="181"/>
      <c r="G5" s="181"/>
      <c r="H5" s="181"/>
      <c r="J5" s="15"/>
    </row>
    <row r="6" spans="1:11" x14ac:dyDescent="0.2">
      <c r="A6" s="15"/>
      <c r="B6" s="35" t="e">
        <f>Results!#REF!</f>
        <v>#REF!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 t="e">
        <f>Results!Q4-Results!#REF!</f>
        <v>#REF!</v>
      </c>
      <c r="C8" s="15"/>
      <c r="D8" s="185" t="e">
        <f>B3</f>
        <v>#REF!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 t="e">
        <f>H3</f>
        <v>#REF!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D4" sqref="D4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D4" sqref="D4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D4" sqref="D4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D4" sqref="D4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D4" sqref="D4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EC3A1-9845-4758-A3A3-530A660ED7AF}">
  <sheetPr codeName="Sheet42"/>
  <dimension ref="A1:K16"/>
  <sheetViews>
    <sheetView workbookViewId="0">
      <selection activeCell="E3" sqref="E3:G3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 t="e">
        <f>Results!#REF!</f>
        <v>#REF!</v>
      </c>
      <c r="C3" s="18"/>
      <c r="D3" s="36"/>
      <c r="E3" s="184" t="e">
        <f>Results!#REF!</f>
        <v>#REF!</v>
      </c>
      <c r="F3" s="184"/>
      <c r="G3" s="184"/>
      <c r="H3" s="183" t="e">
        <f>Results!#REF!</f>
        <v>#REF!</v>
      </c>
      <c r="I3" s="183"/>
      <c r="J3" s="183"/>
      <c r="K3" s="66"/>
    </row>
    <row r="4" spans="1:11" ht="15.75" customHeight="1" x14ac:dyDescent="0.2">
      <c r="A4" s="15"/>
      <c r="B4" s="17" t="e">
        <f>E3</f>
        <v>#REF!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e">
        <f>SpellNumber(H3)</f>
        <v>#VALUE!</v>
      </c>
      <c r="E5" s="181"/>
      <c r="F5" s="181"/>
      <c r="G5" s="181"/>
      <c r="H5" s="181"/>
      <c r="J5" s="15"/>
    </row>
    <row r="6" spans="1:11" x14ac:dyDescent="0.2">
      <c r="A6" s="15"/>
      <c r="B6" s="35" t="e">
        <f>Results!#REF!</f>
        <v>#REF!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 t="e">
        <f>Results!Q4-Results!#REF!</f>
        <v>#REF!</v>
      </c>
      <c r="C8" s="15"/>
      <c r="D8" s="185" t="e">
        <f>B3</f>
        <v>#REF!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 t="e">
        <f>H3</f>
        <v>#REF!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E3" sqref="E3:G3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E3" sqref="E3:G3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E3" sqref="E3:G3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E3" sqref="E3:G3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E3" sqref="E3:G3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774A1-E051-4A04-A643-197B6A9AF188}">
  <sheetPr codeName="Sheet43"/>
  <dimension ref="A1:K16"/>
  <sheetViews>
    <sheetView workbookViewId="0">
      <selection activeCell="B3" sqref="B3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 t="e">
        <f>Results!#REF!</f>
        <v>#REF!</v>
      </c>
      <c r="C3" s="18"/>
      <c r="D3" s="36"/>
      <c r="E3" s="184" t="e">
        <f>Results!#REF!</f>
        <v>#REF!</v>
      </c>
      <c r="F3" s="184"/>
      <c r="G3" s="184"/>
      <c r="H3" s="183" t="e">
        <f>Results!#REF!</f>
        <v>#REF!</v>
      </c>
      <c r="I3" s="183"/>
      <c r="J3" s="183"/>
      <c r="K3" s="66"/>
    </row>
    <row r="4" spans="1:11" ht="15.75" customHeight="1" x14ac:dyDescent="0.2">
      <c r="A4" s="15"/>
      <c r="B4" s="17" t="e">
        <f>E3</f>
        <v>#REF!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e">
        <f>SpellNumber(H3)</f>
        <v>#VALUE!</v>
      </c>
      <c r="E5" s="181"/>
      <c r="F5" s="181"/>
      <c r="G5" s="181"/>
      <c r="H5" s="181"/>
      <c r="J5" s="15"/>
    </row>
    <row r="6" spans="1:11" x14ac:dyDescent="0.2">
      <c r="A6" s="15"/>
      <c r="B6" s="35" t="e">
        <f>Results!#REF!</f>
        <v>#REF!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 t="e">
        <f>Results!Q4-Results!#REF!</f>
        <v>#REF!</v>
      </c>
      <c r="C8" s="15"/>
      <c r="D8" s="185" t="e">
        <f>B3</f>
        <v>#REF!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 t="e">
        <f>H3</f>
        <v>#REF!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B3" sqref="B3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B3" sqref="B3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B3" sqref="B3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B3" sqref="B3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B3" sqref="B3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950DB-46DF-42CD-8F20-A1F6102896ED}">
  <sheetPr codeName="Sheet44"/>
  <dimension ref="A1:K16"/>
  <sheetViews>
    <sheetView workbookViewId="0">
      <selection activeCell="H3" sqref="H3:J3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 t="e">
        <f>Results!#REF!</f>
        <v>#REF!</v>
      </c>
      <c r="C3" s="18"/>
      <c r="D3" s="36"/>
      <c r="E3" s="184" t="e">
        <f>Results!#REF!</f>
        <v>#REF!</v>
      </c>
      <c r="F3" s="184"/>
      <c r="G3" s="184"/>
      <c r="H3" s="183" t="e">
        <f>Results!#REF!</f>
        <v>#REF!</v>
      </c>
      <c r="I3" s="183"/>
      <c r="J3" s="183"/>
      <c r="K3" s="66"/>
    </row>
    <row r="4" spans="1:11" ht="15.75" customHeight="1" x14ac:dyDescent="0.2">
      <c r="A4" s="15"/>
      <c r="B4" s="17" t="e">
        <f>E3</f>
        <v>#REF!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e">
        <f>SpellNumber(H3)</f>
        <v>#VALUE!</v>
      </c>
      <c r="E5" s="181"/>
      <c r="F5" s="181"/>
      <c r="G5" s="181"/>
      <c r="H5" s="181"/>
      <c r="J5" s="15"/>
    </row>
    <row r="6" spans="1:11" x14ac:dyDescent="0.2">
      <c r="A6" s="15"/>
      <c r="B6" s="35" t="e">
        <f>Results!#REF!</f>
        <v>#REF!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 t="e">
        <f>Results!Q4-Results!#REF!</f>
        <v>#REF!</v>
      </c>
      <c r="C8" s="15"/>
      <c r="D8" s="185" t="e">
        <f>B3</f>
        <v>#REF!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 t="e">
        <f>H3</f>
        <v>#REF!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H3" sqref="H3:J3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H3" sqref="H3:J3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H3" sqref="H3:J3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H3" sqref="H3:J3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H3" sqref="H3:J3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DD6F1-6EFB-46CB-B568-C4D5666BB9B5}">
  <sheetPr codeName="Sheet45"/>
  <dimension ref="A1:K16"/>
  <sheetViews>
    <sheetView workbookViewId="0">
      <selection activeCell="H3" sqref="H3:J3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 t="e">
        <f>Results!#REF!</f>
        <v>#REF!</v>
      </c>
      <c r="C3" s="18"/>
      <c r="D3" s="36"/>
      <c r="E3" s="184" t="e">
        <f>Results!#REF!</f>
        <v>#REF!</v>
      </c>
      <c r="F3" s="184"/>
      <c r="G3" s="184"/>
      <c r="H3" s="183" t="e">
        <f>Results!#REF!</f>
        <v>#REF!</v>
      </c>
      <c r="I3" s="183"/>
      <c r="J3" s="183"/>
      <c r="K3" s="66"/>
    </row>
    <row r="4" spans="1:11" ht="15.75" customHeight="1" x14ac:dyDescent="0.2">
      <c r="A4" s="15"/>
      <c r="B4" s="17" t="e">
        <f>E3</f>
        <v>#REF!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e">
        <f>SpellNumber(H3)</f>
        <v>#VALUE!</v>
      </c>
      <c r="E5" s="181"/>
      <c r="F5" s="181"/>
      <c r="G5" s="181"/>
      <c r="H5" s="181"/>
      <c r="J5" s="15"/>
    </row>
    <row r="6" spans="1:11" x14ac:dyDescent="0.2">
      <c r="A6" s="15"/>
      <c r="B6" s="35" t="e">
        <f>Results!#REF!</f>
        <v>#REF!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 t="e">
        <f>Results!Q4-Results!#REF!</f>
        <v>#REF!</v>
      </c>
      <c r="C8" s="15"/>
      <c r="D8" s="185" t="e">
        <f>B3</f>
        <v>#REF!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 t="e">
        <f>H3</f>
        <v>#REF!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H3" sqref="H3:J3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H3" sqref="H3:J3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H3" sqref="H3:J3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H3" sqref="H3:J3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H3" sqref="H3:J3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2EF10-F046-4E5B-8158-89D2E7EE7582}">
  <sheetPr codeName="Sheet46"/>
  <dimension ref="A1:K16"/>
  <sheetViews>
    <sheetView workbookViewId="0">
      <selection activeCell="D5" sqref="D5:H5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 t="e">
        <f>Results!#REF!</f>
        <v>#REF!</v>
      </c>
      <c r="C3" s="18"/>
      <c r="D3" s="36"/>
      <c r="E3" s="184" t="e">
        <f>Results!#REF!</f>
        <v>#REF!</v>
      </c>
      <c r="F3" s="184"/>
      <c r="G3" s="184"/>
      <c r="H3" s="183" t="e">
        <f>Results!#REF!</f>
        <v>#REF!</v>
      </c>
      <c r="I3" s="183"/>
      <c r="J3" s="183"/>
      <c r="K3" s="66"/>
    </row>
    <row r="4" spans="1:11" ht="15.75" customHeight="1" x14ac:dyDescent="0.2">
      <c r="A4" s="15"/>
      <c r="B4" s="17" t="e">
        <f>E3</f>
        <v>#REF!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e">
        <f>SpellNumber(H3)</f>
        <v>#VALUE!</v>
      </c>
      <c r="E5" s="181"/>
      <c r="F5" s="181"/>
      <c r="G5" s="181"/>
      <c r="H5" s="181"/>
      <c r="J5" s="15"/>
    </row>
    <row r="6" spans="1:11" x14ac:dyDescent="0.2">
      <c r="A6" s="15"/>
      <c r="B6" s="35" t="e">
        <f>Results!#REF!</f>
        <v>#REF!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 t="e">
        <f>Results!Q4-Results!#REF!</f>
        <v>#REF!</v>
      </c>
      <c r="C8" s="15"/>
      <c r="D8" s="185" t="e">
        <f>B3</f>
        <v>#REF!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 t="e">
        <f>H3</f>
        <v>#REF!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D5" sqref="D5:H5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D5" sqref="D5:H5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D5" sqref="D5:H5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D5" sqref="D5:H5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D5" sqref="D5:H5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F34F-F673-4A17-A61C-E9A03C3E410A}">
  <sheetPr codeName="Sheet47"/>
  <dimension ref="A1:K16"/>
  <sheetViews>
    <sheetView workbookViewId="0">
      <selection activeCell="D6" sqref="D6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 t="e">
        <f>Results!#REF!</f>
        <v>#REF!</v>
      </c>
      <c r="C3" s="18"/>
      <c r="D3" s="36"/>
      <c r="E3" s="184" t="e">
        <f>Results!#REF!</f>
        <v>#REF!</v>
      </c>
      <c r="F3" s="184"/>
      <c r="G3" s="184"/>
      <c r="H3" s="183" t="e">
        <f>Results!#REF!</f>
        <v>#REF!</v>
      </c>
      <c r="I3" s="183"/>
      <c r="J3" s="183"/>
      <c r="K3" s="66"/>
    </row>
    <row r="4" spans="1:11" ht="15.75" customHeight="1" x14ac:dyDescent="0.2">
      <c r="A4" s="15"/>
      <c r="B4" s="17" t="e">
        <f>E3</f>
        <v>#REF!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e">
        <f>SpellNumber(H3)</f>
        <v>#VALUE!</v>
      </c>
      <c r="E5" s="181"/>
      <c r="F5" s="181"/>
      <c r="G5" s="181"/>
      <c r="H5" s="181"/>
      <c r="J5" s="15"/>
    </row>
    <row r="6" spans="1:11" x14ac:dyDescent="0.2">
      <c r="A6" s="15"/>
      <c r="B6" s="35" t="e">
        <f>Results!#REF!</f>
        <v>#REF!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 t="e">
        <f>Results!Q4-Results!#REF!</f>
        <v>#REF!</v>
      </c>
      <c r="C8" s="15"/>
      <c r="D8" s="185" t="e">
        <f>B3</f>
        <v>#REF!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 t="e">
        <f>H3</f>
        <v>#REF!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D6" sqref="D6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D6" sqref="D6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D6" sqref="D6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D6" sqref="D6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D6" sqref="D6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61165-D12E-4E6E-BA96-236F6BC304CD}">
  <sheetPr codeName="Sheet48"/>
  <dimension ref="A1:K16"/>
  <sheetViews>
    <sheetView workbookViewId="0">
      <selection activeCell="D5" sqref="D5:H5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 t="e">
        <f>Results!#REF!</f>
        <v>#REF!</v>
      </c>
      <c r="C3" s="18"/>
      <c r="D3" s="36"/>
      <c r="E3" s="184" t="e">
        <f>Results!#REF!</f>
        <v>#REF!</v>
      </c>
      <c r="F3" s="184"/>
      <c r="G3" s="184"/>
      <c r="H3" s="183" t="e">
        <f>Results!#REF!</f>
        <v>#REF!</v>
      </c>
      <c r="I3" s="183"/>
      <c r="J3" s="183"/>
      <c r="K3" s="66"/>
    </row>
    <row r="4" spans="1:11" ht="15.75" customHeight="1" x14ac:dyDescent="0.2">
      <c r="A4" s="15"/>
      <c r="B4" s="17" t="e">
        <f>E3</f>
        <v>#REF!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e">
        <f>SpellNumber(H3)</f>
        <v>#VALUE!</v>
      </c>
      <c r="E5" s="181"/>
      <c r="F5" s="181"/>
      <c r="G5" s="181"/>
      <c r="H5" s="181"/>
      <c r="J5" s="15"/>
    </row>
    <row r="6" spans="1:11" x14ac:dyDescent="0.2">
      <c r="A6" s="15"/>
      <c r="B6" s="35" t="e">
        <f>Results!#REF!</f>
        <v>#REF!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 t="e">
        <f>Results!Q4-Results!#REF!</f>
        <v>#REF!</v>
      </c>
      <c r="C8" s="15"/>
      <c r="D8" s="185" t="e">
        <f>B3</f>
        <v>#REF!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 t="e">
        <f>H3</f>
        <v>#REF!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D5" sqref="D5:H5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D5" sqref="D5:H5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D5" sqref="D5:H5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D5" sqref="D5:H5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D5" sqref="D5:H5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D263-B438-4916-932D-8C25A25DAA4E}">
  <sheetPr codeName="Sheet49"/>
  <dimension ref="A1:K16"/>
  <sheetViews>
    <sheetView workbookViewId="0">
      <selection activeCell="B3" sqref="B3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 t="e">
        <f>Results!#REF!</f>
        <v>#REF!</v>
      </c>
      <c r="C3" s="18"/>
      <c r="D3" s="36"/>
      <c r="E3" s="184" t="e">
        <f>Results!#REF!</f>
        <v>#REF!</v>
      </c>
      <c r="F3" s="184"/>
      <c r="G3" s="184"/>
      <c r="H3" s="183" t="e">
        <f>Results!#REF!</f>
        <v>#REF!</v>
      </c>
      <c r="I3" s="183"/>
      <c r="J3" s="183"/>
      <c r="K3" s="66"/>
    </row>
    <row r="4" spans="1:11" ht="15.75" customHeight="1" x14ac:dyDescent="0.2">
      <c r="A4" s="15"/>
      <c r="B4" s="17" t="e">
        <f>E3</f>
        <v>#REF!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e">
        <f>SpellNumber(H3)</f>
        <v>#VALUE!</v>
      </c>
      <c r="E5" s="181"/>
      <c r="F5" s="181"/>
      <c r="G5" s="181"/>
      <c r="H5" s="181"/>
      <c r="J5" s="15"/>
    </row>
    <row r="6" spans="1:11" x14ac:dyDescent="0.2">
      <c r="A6" s="15"/>
      <c r="B6" s="35" t="e">
        <f>Results!#REF!</f>
        <v>#REF!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 t="e">
        <f>Results!Q4-Results!#REF!</f>
        <v>#REF!</v>
      </c>
      <c r="C8" s="15"/>
      <c r="D8" s="185" t="e">
        <f>B3</f>
        <v>#REF!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 t="e">
        <f>H3</f>
        <v>#REF!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B3" sqref="B3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B3" sqref="B3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B3" sqref="B3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B3" sqref="B3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B3" sqref="B3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8779-8DA2-4CFA-9044-BADEC3A5E8D0}">
  <sheetPr codeName="Sheet50"/>
  <dimension ref="A1:K16"/>
  <sheetViews>
    <sheetView workbookViewId="0">
      <selection activeCell="F8" sqref="F8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 t="e">
        <f>Results!#REF!</f>
        <v>#REF!</v>
      </c>
      <c r="C3" s="18"/>
      <c r="D3" s="36"/>
      <c r="E3" s="184" t="e">
        <f>Results!#REF!</f>
        <v>#REF!</v>
      </c>
      <c r="F3" s="184"/>
      <c r="G3" s="184"/>
      <c r="H3" s="183" t="e">
        <f>Results!#REF!</f>
        <v>#REF!</v>
      </c>
      <c r="I3" s="183"/>
      <c r="J3" s="183"/>
      <c r="K3" s="66"/>
    </row>
    <row r="4" spans="1:11" ht="15.75" customHeight="1" x14ac:dyDescent="0.2">
      <c r="A4" s="15"/>
      <c r="B4" s="17" t="e">
        <f>E3</f>
        <v>#REF!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e">
        <f>SpellNumber(H3)</f>
        <v>#VALUE!</v>
      </c>
      <c r="E5" s="181"/>
      <c r="F5" s="181"/>
      <c r="G5" s="181"/>
      <c r="H5" s="181"/>
      <c r="J5" s="15"/>
    </row>
    <row r="6" spans="1:11" x14ac:dyDescent="0.2">
      <c r="A6" s="15"/>
      <c r="B6" s="35" t="e">
        <f>Results!#REF!</f>
        <v>#REF!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 t="e">
        <f>Results!Q4-Results!#REF!</f>
        <v>#REF!</v>
      </c>
      <c r="C8" s="15"/>
      <c r="D8" s="185" t="e">
        <f>B3</f>
        <v>#REF!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 t="e">
        <f>H3</f>
        <v>#REF!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F8" sqref="F8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F8" sqref="F8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F8" sqref="F8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F8" sqref="F8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F8" sqref="F8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3684-4848-4AA8-943E-3C186B4C30DD}">
  <sheetPr codeName="Sheet51"/>
  <dimension ref="A1:K16"/>
  <sheetViews>
    <sheetView workbookViewId="0">
      <selection activeCell="D7" sqref="D7"/>
    </sheetView>
  </sheetViews>
  <sheetFormatPr defaultRowHeight="12.75" x14ac:dyDescent="0.2"/>
  <cols>
    <col min="1" max="1" width="2.5703125" customWidth="1"/>
    <col min="2" max="2" width="20.28515625" customWidth="1"/>
    <col min="3" max="3" width="11.7109375" customWidth="1"/>
    <col min="6" max="6" width="11.140625" customWidth="1"/>
    <col min="7" max="7" width="18.85546875" customWidth="1"/>
    <col min="8" max="8" width="11.28515625" customWidth="1"/>
    <col min="9" max="9" width="2" customWidth="1"/>
    <col min="10" max="10" width="3.7109375" customWidth="1"/>
    <col min="11" max="11" width="2.42578125" customWidth="1"/>
  </cols>
  <sheetData>
    <row r="1" spans="1:11" ht="14.1" customHeight="1" x14ac:dyDescent="0.2"/>
    <row r="2" spans="1:11" x14ac:dyDescent="0.2">
      <c r="A2" s="15"/>
      <c r="B2" s="16">
        <f>Results!A2</f>
        <v>0</v>
      </c>
      <c r="C2" s="15"/>
      <c r="D2" s="15"/>
      <c r="E2" s="15"/>
      <c r="F2" s="15"/>
      <c r="G2" s="15"/>
      <c r="H2" s="182">
        <f>Results!A2</f>
        <v>0</v>
      </c>
      <c r="I2" s="182"/>
      <c r="J2" s="182"/>
    </row>
    <row r="3" spans="1:11" s="20" customFormat="1" ht="15" customHeight="1" x14ac:dyDescent="0.25">
      <c r="A3" s="18"/>
      <c r="B3" s="19" t="e">
        <f>Results!#REF!</f>
        <v>#REF!</v>
      </c>
      <c r="C3" s="18"/>
      <c r="D3" s="36"/>
      <c r="E3" s="184" t="e">
        <f>Results!#REF!</f>
        <v>#REF!</v>
      </c>
      <c r="F3" s="184"/>
      <c r="G3" s="184"/>
      <c r="H3" s="183" t="e">
        <f>Results!#REF!</f>
        <v>#REF!</v>
      </c>
      <c r="I3" s="183"/>
      <c r="J3" s="183"/>
      <c r="K3" s="66"/>
    </row>
    <row r="4" spans="1:11" ht="15.75" customHeight="1" x14ac:dyDescent="0.2">
      <c r="A4" s="15"/>
      <c r="B4" s="17" t="e">
        <f>E3</f>
        <v>#REF!</v>
      </c>
      <c r="C4" s="15"/>
      <c r="I4" s="28"/>
      <c r="J4" s="15"/>
    </row>
    <row r="5" spans="1:11" x14ac:dyDescent="0.2">
      <c r="A5" s="15"/>
      <c r="B5" t="s">
        <v>37</v>
      </c>
      <c r="C5" s="15"/>
      <c r="D5" s="181" t="e">
        <f>SpellNumber(H3)</f>
        <v>#VALUE!</v>
      </c>
      <c r="E5" s="181"/>
      <c r="F5" s="181"/>
      <c r="G5" s="181"/>
      <c r="H5" s="181"/>
      <c r="J5" s="15"/>
    </row>
    <row r="6" spans="1:11" x14ac:dyDescent="0.2">
      <c r="A6" s="15"/>
      <c r="B6" s="35" t="e">
        <f>Results!#REF!</f>
        <v>#REF!</v>
      </c>
      <c r="C6" s="15"/>
      <c r="I6" s="15"/>
      <c r="J6" s="15"/>
    </row>
    <row r="7" spans="1:11" x14ac:dyDescent="0.2">
      <c r="A7" s="15"/>
      <c r="B7" s="33" t="s">
        <v>36</v>
      </c>
      <c r="C7" s="15"/>
      <c r="D7" s="15"/>
      <c r="E7" s="15"/>
      <c r="F7" s="15"/>
      <c r="G7" s="15"/>
      <c r="H7" s="15"/>
      <c r="I7" s="15"/>
      <c r="J7" s="15"/>
    </row>
    <row r="8" spans="1:11" x14ac:dyDescent="0.2">
      <c r="A8" s="15"/>
      <c r="B8" s="35" t="e">
        <f>Results!Q4-Results!#REF!</f>
        <v>#REF!</v>
      </c>
      <c r="C8" s="15"/>
      <c r="D8" s="185" t="e">
        <f>B3</f>
        <v>#REF!</v>
      </c>
      <c r="E8" s="186" t="s">
        <v>33</v>
      </c>
      <c r="F8" s="15"/>
      <c r="G8" s="15"/>
      <c r="H8" s="15"/>
      <c r="I8" s="15"/>
      <c r="J8" s="15"/>
    </row>
    <row r="9" spans="1:11" x14ac:dyDescent="0.2">
      <c r="A9" s="15"/>
      <c r="B9" s="21" t="e">
        <f>H3</f>
        <v>#REF!</v>
      </c>
      <c r="D9" s="185"/>
      <c r="E9" s="186"/>
      <c r="F9" s="15" t="s">
        <v>38</v>
      </c>
      <c r="G9" s="15"/>
      <c r="H9" s="15"/>
      <c r="I9" s="15"/>
      <c r="J9" s="15"/>
    </row>
    <row r="10" spans="1:1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</row>
  </sheetData>
  <customSheetViews>
    <customSheetView guid="{6579D6FA-61B8-4BE0-9E51-0DE789A5B6F9}">
      <selection activeCell="D7" sqref="D7"/>
      <pageMargins left="0" right="0.5" top="0.5" bottom="0.25" header="0.5" footer="0.5"/>
      <pageSetup paperSize="209" orientation="portrait" horizontalDpi="120" verticalDpi="72" r:id="rId1"/>
      <headerFooter alignWithMargins="0"/>
    </customSheetView>
    <customSheetView guid="{6CC9502D-B81B-4D47-97A4-B1B3C91D360C}">
      <selection activeCell="D7" sqref="D7"/>
      <pageMargins left="0" right="0.5" top="0.5" bottom="0.25" header="0.5" footer="0.5"/>
      <pageSetup paperSize="209" orientation="portrait" horizontalDpi="120" verticalDpi="72" r:id="rId2"/>
      <headerFooter alignWithMargins="0"/>
    </customSheetView>
    <customSheetView guid="{FAEA6EC5-D9B6-4437-A803-823522310AC0}">
      <selection activeCell="D7" sqref="D7"/>
      <pageMargins left="0" right="0.5" top="0.5" bottom="0.25" header="0.5" footer="0.5"/>
      <pageSetup paperSize="209" orientation="portrait" horizontalDpi="120" verticalDpi="72" r:id="rId3"/>
      <headerFooter alignWithMargins="0"/>
    </customSheetView>
    <customSheetView guid="{F04FE217-A37A-4511-893E-50AA42FE7103}">
      <selection activeCell="D7" sqref="D7"/>
      <pageMargins left="0" right="0.5" top="0.5" bottom="0.25" header="0.5" footer="0.5"/>
      <pageSetup paperSize="209" orientation="portrait" horizontalDpi="120" verticalDpi="72" r:id="rId4"/>
      <headerFooter alignWithMargins="0"/>
    </customSheetView>
    <customSheetView guid="{9CAD209D-2C54-4BC8-BBE1-B44670E0CFDB}">
      <selection activeCell="D7" sqref="D7"/>
      <pageMargins left="0" right="0.5" top="0.5" bottom="0.25" header="0.5" footer="0.5"/>
      <pageSetup paperSize="209" orientation="portrait" horizontalDpi="120" verticalDpi="72" r:id="rId5"/>
      <headerFooter alignWithMargins="0"/>
    </customSheetView>
  </customSheetViews>
  <mergeCells count="6">
    <mergeCell ref="H2:J2"/>
    <mergeCell ref="E3:G3"/>
    <mergeCell ref="H3:J3"/>
    <mergeCell ref="D5:H5"/>
    <mergeCell ref="D8:D9"/>
    <mergeCell ref="E8:E9"/>
  </mergeCells>
  <pageMargins left="0" right="0.5" top="0.5" bottom="0.25" header="0.5" footer="0.5"/>
  <pageSetup paperSize="209" orientation="portrait" horizontalDpi="120" verticalDpi="72" r:id="rId6"/>
  <headerFooter alignWithMargins="0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Results</vt:lpstr>
      <vt:lpstr>1st</vt:lpstr>
      <vt:lpstr>2nd</vt:lpstr>
      <vt:lpstr>3rd</vt:lpstr>
      <vt:lpstr>4th</vt:lpstr>
      <vt:lpstr>5th</vt:lpstr>
      <vt:lpstr>6th</vt:lpstr>
      <vt:lpstr>7th</vt:lpstr>
      <vt:lpstr>8th</vt:lpstr>
      <vt:lpstr>9th</vt:lpstr>
      <vt:lpstr>10th</vt:lpstr>
      <vt:lpstr>11th</vt:lpstr>
      <vt:lpstr>12th</vt:lpstr>
      <vt:lpstr>13th</vt:lpstr>
      <vt:lpstr>14th</vt:lpstr>
      <vt:lpstr>15th</vt:lpstr>
      <vt:lpstr>16th</vt:lpstr>
      <vt:lpstr>17th</vt:lpstr>
      <vt:lpstr>18th</vt:lpstr>
      <vt:lpstr>19th</vt:lpstr>
      <vt:lpstr>20th</vt:lpstr>
      <vt:lpstr>21st</vt:lpstr>
      <vt:lpstr>22nd</vt:lpstr>
      <vt:lpstr>23rd</vt:lpstr>
      <vt:lpstr>24th</vt:lpstr>
      <vt:lpstr>25th</vt:lpstr>
      <vt:lpstr>26th</vt:lpstr>
      <vt:lpstr>27th</vt:lpstr>
      <vt:lpstr>28th</vt:lpstr>
      <vt:lpstr>29th</vt:lpstr>
      <vt:lpstr>30th</vt:lpstr>
      <vt:lpstr>31st</vt:lpstr>
      <vt:lpstr>32nd</vt:lpstr>
      <vt:lpstr>33rd</vt:lpstr>
      <vt:lpstr>34th</vt:lpstr>
      <vt:lpstr>35th</vt:lpstr>
      <vt:lpstr>36th</vt:lpstr>
      <vt:lpstr>37th</vt:lpstr>
      <vt:lpstr>38th</vt:lpstr>
      <vt:lpstr>39th</vt:lpstr>
      <vt:lpstr>40th</vt:lpstr>
      <vt:lpstr>41st</vt:lpstr>
      <vt:lpstr>42nd</vt:lpstr>
      <vt:lpstr>43rd</vt:lpstr>
      <vt:lpstr>44th</vt:lpstr>
      <vt:lpstr>45th</vt:lpstr>
      <vt:lpstr>46th</vt:lpstr>
      <vt:lpstr>47th</vt:lpstr>
      <vt:lpstr>48th</vt:lpstr>
      <vt:lpstr>49th</vt:lpstr>
      <vt:lpstr>50th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P. Pardo</dc:creator>
  <cp:lastModifiedBy>Joseph Ortiz</cp:lastModifiedBy>
  <cp:lastPrinted>2018-01-14T04:08:28Z</cp:lastPrinted>
  <dcterms:created xsi:type="dcterms:W3CDTF">2005-01-25T06:19:04Z</dcterms:created>
  <dcterms:modified xsi:type="dcterms:W3CDTF">2025-06-14T03:24:04Z</dcterms:modified>
</cp:coreProperties>
</file>